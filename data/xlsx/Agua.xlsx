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di\source\repos\pielh\data\xlsx\"/>
    </mc:Choice>
  </mc:AlternateContent>
  <xr:revisionPtr revIDLastSave="0" documentId="8_{1F3CBFA0-A1B9-4395-AB18-1CE3D7A2B148}" xr6:coauthVersionLast="47" xr6:coauthVersionMax="47" xr10:uidLastSave="{00000000-0000-0000-0000-000000000000}"/>
  <bookViews>
    <workbookView xWindow="-120" yWindow="-120" windowWidth="29040" windowHeight="15840" xr2:uid="{C297C807-7AE2-4138-B9BA-D77588727018}"/>
  </bookViews>
  <sheets>
    <sheet name="AGU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9" i="1" l="1"/>
  <c r="B78" i="1"/>
  <c r="B77" i="1"/>
  <c r="B76" i="1"/>
  <c r="B75" i="1"/>
  <c r="B74" i="1"/>
  <c r="B72" i="1"/>
  <c r="B71" i="1"/>
  <c r="B70" i="1"/>
  <c r="B69" i="1"/>
  <c r="B68" i="1"/>
  <c r="B67" i="1"/>
  <c r="B66" i="1"/>
  <c r="B63" i="1"/>
  <c r="B62" i="1"/>
  <c r="B61" i="1"/>
  <c r="B60" i="1"/>
  <c r="B59" i="1"/>
  <c r="B58" i="1"/>
  <c r="B57" i="1"/>
  <c r="B55" i="1"/>
  <c r="B54" i="1"/>
  <c r="B52" i="1"/>
  <c r="B51" i="1"/>
  <c r="B49" i="1"/>
  <c r="B47" i="1"/>
  <c r="B45" i="1"/>
  <c r="B44" i="1"/>
  <c r="B42" i="1"/>
  <c r="B41" i="1"/>
  <c r="B40" i="1"/>
  <c r="B37" i="1"/>
  <c r="B35" i="1"/>
  <c r="B34" i="1"/>
  <c r="B33" i="1"/>
  <c r="B32" i="1"/>
  <c r="B31" i="1"/>
  <c r="B30" i="1"/>
  <c r="B29" i="1"/>
  <c r="B26" i="1"/>
  <c r="B25" i="1"/>
  <c r="B24" i="1"/>
  <c r="B23" i="1"/>
  <c r="B22" i="1"/>
  <c r="B20" i="1"/>
  <c r="B17" i="1"/>
  <c r="B16" i="1"/>
  <c r="B15" i="1"/>
  <c r="B13" i="1"/>
  <c r="B12" i="1"/>
  <c r="B11" i="1"/>
  <c r="B10" i="1"/>
  <c r="B9" i="1"/>
  <c r="B7" i="1"/>
  <c r="B6" i="1"/>
  <c r="B4" i="1"/>
  <c r="B3" i="1"/>
  <c r="B2" i="1"/>
</calcChain>
</file>

<file path=xl/sharedStrings.xml><?xml version="1.0" encoding="utf-8"?>
<sst xmlns="http://schemas.openxmlformats.org/spreadsheetml/2006/main" count="617" uniqueCount="414">
  <si>
    <t>Name</t>
  </si>
  <si>
    <t>Columna1</t>
  </si>
  <si>
    <t>poliza</t>
  </si>
  <si>
    <t>Columna2</t>
  </si>
  <si>
    <t>Orden</t>
  </si>
  <si>
    <t>Póliza</t>
  </si>
  <si>
    <t>Vía</t>
  </si>
  <si>
    <t>Dirección</t>
  </si>
  <si>
    <t>Número</t>
  </si>
  <si>
    <t>Edificio</t>
  </si>
  <si>
    <t>HOS</t>
  </si>
  <si>
    <t>Comentarios Ayto</t>
  </si>
  <si>
    <t>Comentario ETRA</t>
  </si>
  <si>
    <t>C15FA260208R</t>
  </si>
  <si>
    <t>132573HO</t>
  </si>
  <si>
    <t>126263HO</t>
  </si>
  <si>
    <t>PL</t>
  </si>
  <si>
    <t>AJUNTAMENT</t>
  </si>
  <si>
    <t>0011</t>
  </si>
  <si>
    <t>HOS 001-Ajuntament de L'Hospitalet - Casa Consistorial</t>
  </si>
  <si>
    <t>HOS001</t>
  </si>
  <si>
    <t>C15FA550083J</t>
  </si>
  <si>
    <t>180750HO</t>
  </si>
  <si>
    <t>C</t>
  </si>
  <si>
    <t>MIGDIA</t>
  </si>
  <si>
    <t>0005</t>
  </si>
  <si>
    <t>HOS 002-Ajuntament de L'Hospitalet - Ed. Migdia</t>
  </si>
  <si>
    <t>HOS002</t>
  </si>
  <si>
    <t>D15FE071450J</t>
  </si>
  <si>
    <t>183288HO</t>
  </si>
  <si>
    <t>187880HO</t>
  </si>
  <si>
    <t>CTRA</t>
  </si>
  <si>
    <t>MIG</t>
  </si>
  <si>
    <t>0087</t>
  </si>
  <si>
    <t>HOS 004-CEMFO</t>
  </si>
  <si>
    <t>HOS004</t>
  </si>
  <si>
    <t>D16BA113364X</t>
  </si>
  <si>
    <t>145405HO</t>
  </si>
  <si>
    <t>BORRAR</t>
  </si>
  <si>
    <t>ARQUITECTURA</t>
  </si>
  <si>
    <t>0032</t>
  </si>
  <si>
    <t>HOS 005-Edificio Cobalt (archivo municipal)</t>
  </si>
  <si>
    <t>HOS005</t>
  </si>
  <si>
    <t>D16FE086647C</t>
  </si>
  <si>
    <t>180516HO</t>
  </si>
  <si>
    <t>APRESTADORA</t>
  </si>
  <si>
    <t>0002</t>
  </si>
  <si>
    <t>HOS 006-Cal Gotlla</t>
  </si>
  <si>
    <t>HOS006</t>
  </si>
  <si>
    <t>Dos polizas para HOS 006</t>
  </si>
  <si>
    <t>D16UH084259X</t>
  </si>
  <si>
    <t>CIÈNCIES</t>
  </si>
  <si>
    <t>0069</t>
  </si>
  <si>
    <t>D17BA087741E</t>
  </si>
  <si>
    <t>005764HB</t>
  </si>
  <si>
    <t>157378HO</t>
  </si>
  <si>
    <t>BARCELONA</t>
  </si>
  <si>
    <t>0136</t>
  </si>
  <si>
    <t>HOS 007-Biblioteca Can Sumarro</t>
  </si>
  <si>
    <t>HOS007</t>
  </si>
  <si>
    <t>D17BA214472T</t>
  </si>
  <si>
    <t>122637HO</t>
  </si>
  <si>
    <t>AV</t>
  </si>
  <si>
    <t>SEVERO OCHOA</t>
  </si>
  <si>
    <t>0458</t>
  </si>
  <si>
    <t>HOS 008-Biblioteca i Centre Cultural la Bòbila</t>
  </si>
  <si>
    <t>HOS008</t>
  </si>
  <si>
    <t>D18BA010631X</t>
  </si>
  <si>
    <t>RENCLUSA</t>
  </si>
  <si>
    <t>0051</t>
  </si>
  <si>
    <t>HOS 009-Biblioteca la Florida</t>
  </si>
  <si>
    <t>HOS009</t>
  </si>
  <si>
    <t>D18BA388376I</t>
  </si>
  <si>
    <t>Duplicado HOS006 Hay dos contadores?</t>
  </si>
  <si>
    <t>085725HO</t>
  </si>
  <si>
    <t>MENÉNDEZ PIDAL</t>
  </si>
  <si>
    <t>0098</t>
  </si>
  <si>
    <t>HOS 012-Cementerio Municipal L'Hospitalet</t>
  </si>
  <si>
    <t>HOS012</t>
  </si>
  <si>
    <t>D8683450377492801D16BA108177L</t>
  </si>
  <si>
    <t>152201HO</t>
  </si>
  <si>
    <t>166345HO</t>
  </si>
  <si>
    <t>ROSALÍA DE CASTRO</t>
  </si>
  <si>
    <t>0057</t>
  </si>
  <si>
    <t>HOS 022-Centre Cultural Metropolitá Tecla Sala</t>
  </si>
  <si>
    <t>HOS022</t>
  </si>
  <si>
    <t>D8683450377492801D17BA088747O</t>
  </si>
  <si>
    <t>BLOCS FLORIDA</t>
  </si>
  <si>
    <t>0015</t>
  </si>
  <si>
    <t>HOS 023-Centre Municipal la Florida - Ana Díaz Rico</t>
  </si>
  <si>
    <t>HOS023</t>
  </si>
  <si>
    <t>D8683450377492801H23VA084841R</t>
  </si>
  <si>
    <t>163521HO</t>
  </si>
  <si>
    <t>MOLÍ</t>
  </si>
  <si>
    <t>0014</t>
  </si>
  <si>
    <t>HOS 026-Area Basica Serveis Socials - Dte. IV/V - Benestar Social</t>
  </si>
  <si>
    <t>HOS026</t>
  </si>
  <si>
    <t>H22VA827558M</t>
  </si>
  <si>
    <t>034267HO</t>
  </si>
  <si>
    <t>TECLA SALA</t>
  </si>
  <si>
    <t>HOS 028-Area de Benestar social</t>
  </si>
  <si>
    <t>HOS028</t>
  </si>
  <si>
    <t>H23VA095644X</t>
  </si>
  <si>
    <t>125070HO</t>
  </si>
  <si>
    <t>MONTSENY</t>
  </si>
  <si>
    <t>0090</t>
  </si>
  <si>
    <t>HOS 029-Casa dels Cargols</t>
  </si>
  <si>
    <t>HOS029</t>
  </si>
  <si>
    <t>H23VA120131G</t>
  </si>
  <si>
    <t>135052HO</t>
  </si>
  <si>
    <t>RBLA</t>
  </si>
  <si>
    <t>JUST OLIVERAS</t>
  </si>
  <si>
    <t>0023</t>
  </si>
  <si>
    <t>HOS 033-Regidoria Districte I</t>
  </si>
  <si>
    <t>HOS033</t>
  </si>
  <si>
    <t>H23VA120591E</t>
  </si>
  <si>
    <t>MARE DE DÉU DELS DESEMPARATS</t>
  </si>
  <si>
    <t>0083</t>
  </si>
  <si>
    <t>HOS 034-Regidoria Districte II</t>
  </si>
  <si>
    <t>HOS034</t>
  </si>
  <si>
    <t>H23VA120599M</t>
  </si>
  <si>
    <t>SANTA EULÀLIA</t>
  </si>
  <si>
    <t>0074</t>
  </si>
  <si>
    <t>HOS 035-Regidoria Districte III</t>
  </si>
  <si>
    <t>HOS035</t>
  </si>
  <si>
    <t>I17BC013010U</t>
  </si>
  <si>
    <t>CULTURA</t>
  </si>
  <si>
    <t>0013</t>
  </si>
  <si>
    <t>HOS 036-Dipòsit de vehicles (santa eulàlia)</t>
  </si>
  <si>
    <t>HOS036</t>
  </si>
  <si>
    <t>I17BC095962D</t>
  </si>
  <si>
    <t>105534HO</t>
  </si>
  <si>
    <t>MIQUEL PEIRÓ I VICTORÍ</t>
  </si>
  <si>
    <t>0070</t>
  </si>
  <si>
    <t>HOS 038-Escola Busquets i Punset</t>
  </si>
  <si>
    <t>HOS038</t>
  </si>
  <si>
    <t>I17BD083286K</t>
  </si>
  <si>
    <t>138075HO</t>
  </si>
  <si>
    <t>0125</t>
  </si>
  <si>
    <t>HOS 039-Escola Ausias March</t>
  </si>
  <si>
    <t>HOS039</t>
  </si>
  <si>
    <t>I17BD504011F</t>
  </si>
  <si>
    <t>LLANÇÀ</t>
  </si>
  <si>
    <t>0020</t>
  </si>
  <si>
    <t>HOS 041-Escola Charlie Rivel</t>
  </si>
  <si>
    <t>HOS041</t>
  </si>
  <si>
    <t>I17BD504878W</t>
  </si>
  <si>
    <t>124645HO</t>
  </si>
  <si>
    <t>ISABEL LA CATÓLICA</t>
  </si>
  <si>
    <t>0063</t>
  </si>
  <si>
    <t>HOS 042-Escola Josep Maria Folch i Torres</t>
  </si>
  <si>
    <t>HOS042</t>
  </si>
  <si>
    <t>I17BE046798C</t>
  </si>
  <si>
    <t>106857HO</t>
  </si>
  <si>
    <t>LLORER</t>
  </si>
  <si>
    <t>0301</t>
  </si>
  <si>
    <t>HOS 046-Escola Joaquim Ruyra</t>
  </si>
  <si>
    <t>HOS046</t>
  </si>
  <si>
    <t>I17BE094519Y</t>
  </si>
  <si>
    <t>145997HO</t>
  </si>
  <si>
    <t>JOSEP TARRADELLAS I JOAN</t>
  </si>
  <si>
    <t>0116</t>
  </si>
  <si>
    <t>HOS 047-Escola Josep Janes</t>
  </si>
  <si>
    <t>HOS047</t>
  </si>
  <si>
    <t>I17BF045531G</t>
  </si>
  <si>
    <t>158677HO</t>
  </si>
  <si>
    <t>158108HO</t>
  </si>
  <si>
    <t>PERE PELEGRÍ</t>
  </si>
  <si>
    <t>0095</t>
  </si>
  <si>
    <t>HOS 048-Escola La Carpa</t>
  </si>
  <si>
    <t>HOS048</t>
  </si>
  <si>
    <t>I18BC030788S</t>
  </si>
  <si>
    <t>186691HO</t>
  </si>
  <si>
    <t>148240HO</t>
  </si>
  <si>
    <t>0043</t>
  </si>
  <si>
    <t>HOS 050-Escola Lola Anglada</t>
  </si>
  <si>
    <t>HOS050</t>
  </si>
  <si>
    <t>I18BD030283F</t>
  </si>
  <si>
    <t>125072HO</t>
  </si>
  <si>
    <t>184913HO</t>
  </si>
  <si>
    <t>PRAT</t>
  </si>
  <si>
    <t>0041</t>
  </si>
  <si>
    <t>HOS 051-Escola Mare de Déu de Bellvitge</t>
  </si>
  <si>
    <t>HOS051</t>
  </si>
  <si>
    <t>I18BD030289L</t>
  </si>
  <si>
    <t>124643HO</t>
  </si>
  <si>
    <t>075571HO</t>
  </si>
  <si>
    <t>PEDRAFORCA</t>
  </si>
  <si>
    <t>0031</t>
  </si>
  <si>
    <t>HOS 053-Escola Menéndez Pidal</t>
  </si>
  <si>
    <t>HOS053</t>
  </si>
  <si>
    <t>I18BD030305U</t>
  </si>
  <si>
    <t>186694HO</t>
  </si>
  <si>
    <t>0400</t>
  </si>
  <si>
    <t>HOS 054-Escola Milagros Consarnau</t>
  </si>
  <si>
    <t>HOS054</t>
  </si>
  <si>
    <t>I18BD030306V</t>
  </si>
  <si>
    <t>139679HO</t>
  </si>
  <si>
    <t>CORNELLÀ</t>
  </si>
  <si>
    <t>0037</t>
  </si>
  <si>
    <t>HOS 055-Escola Pablo Neruda</t>
  </si>
  <si>
    <t>HOS055</t>
  </si>
  <si>
    <t>I18BD030308X</t>
  </si>
  <si>
    <t>CARRILET</t>
  </si>
  <si>
    <t>0315</t>
  </si>
  <si>
    <t>HOS 056-Escola Patufet Sant Jordi</t>
  </si>
  <si>
    <t>HOS056</t>
  </si>
  <si>
    <t>I18BD030309Y</t>
  </si>
  <si>
    <t>137380HO</t>
  </si>
  <si>
    <t>CORTADA</t>
  </si>
  <si>
    <t>HOS 057-Escola Pau Casals</t>
  </si>
  <si>
    <t>HOS057</t>
  </si>
  <si>
    <t>I18BD030318Z</t>
  </si>
  <si>
    <t>111214HO</t>
  </si>
  <si>
    <t>154921HO</t>
  </si>
  <si>
    <t>PTGE</t>
  </si>
  <si>
    <t>MINER</t>
  </si>
  <si>
    <t>0024</t>
  </si>
  <si>
    <t>HOS 058-Escola Pau Sans</t>
  </si>
  <si>
    <t>HOS058</t>
  </si>
  <si>
    <t>I18BD039671X</t>
  </si>
  <si>
    <t>021804HO</t>
  </si>
  <si>
    <t>FLORIDA</t>
  </si>
  <si>
    <t>0111</t>
  </si>
  <si>
    <t>HOS 059-Escola Pau Vila</t>
  </si>
  <si>
    <t>HOS059</t>
  </si>
  <si>
    <t>I19BD035462J</t>
  </si>
  <si>
    <t>GUERNICA</t>
  </si>
  <si>
    <t>0003</t>
  </si>
  <si>
    <t>HOS 060-Escola Pep Ventura</t>
  </si>
  <si>
    <t>HOS060</t>
  </si>
  <si>
    <t>I19BD042435Z</t>
  </si>
  <si>
    <t>CADÍ</t>
  </si>
  <si>
    <t>HOS 061-Escola Pere Lliscart</t>
  </si>
  <si>
    <t>HOS061</t>
  </si>
  <si>
    <t>I20BB038156H</t>
  </si>
  <si>
    <t>PI I MARGALL</t>
  </si>
  <si>
    <t>0027</t>
  </si>
  <si>
    <t>HOS 062-Escola Pompeu Fabra</t>
  </si>
  <si>
    <t>HOS062</t>
  </si>
  <si>
    <t>I20BD020169P</t>
  </si>
  <si>
    <t>NATZARET</t>
  </si>
  <si>
    <t>HOS 063-Escola Prat de la Manta</t>
  </si>
  <si>
    <t>HOS063</t>
  </si>
  <si>
    <t>I20BD036700P</t>
  </si>
  <si>
    <t>JOSEP MOLINS</t>
  </si>
  <si>
    <t>HOS 064-Escola Puig i Gairalt</t>
  </si>
  <si>
    <t>HOS064</t>
  </si>
  <si>
    <t>I20LA195865W</t>
  </si>
  <si>
    <t>026091HO</t>
  </si>
  <si>
    <t>ALBAREDA</t>
  </si>
  <si>
    <t>HOS 065-Escola Santiago Ramón y Cajal</t>
  </si>
  <si>
    <t>HOS065</t>
  </si>
  <si>
    <t>I20LA228706R</t>
  </si>
  <si>
    <t>MARINA</t>
  </si>
  <si>
    <t>0425</t>
  </si>
  <si>
    <t>HOS 070-Ca n'Arús</t>
  </si>
  <si>
    <t>HOS070</t>
  </si>
  <si>
    <t>I21BC007255G</t>
  </si>
  <si>
    <t>SANT PIUS X</t>
  </si>
  <si>
    <t>0030</t>
  </si>
  <si>
    <t>HOS 106-Pavelló Municipal d'Esports</t>
  </si>
  <si>
    <t>HOS106</t>
  </si>
  <si>
    <t>I21BD022197K</t>
  </si>
  <si>
    <t>169719HO</t>
  </si>
  <si>
    <t>HOS 107-Piscines Municipals L'Hospitalet</t>
  </si>
  <si>
    <t>HOS107</t>
  </si>
  <si>
    <t>I22BB010103W</t>
  </si>
  <si>
    <t>170796HO</t>
  </si>
  <si>
    <t>ROSICH</t>
  </si>
  <si>
    <t>0012</t>
  </si>
  <si>
    <t>HOS 110-Poliesportiu Municipal Fum d'Estampa</t>
  </si>
  <si>
    <t>HOS110</t>
  </si>
  <si>
    <t>I22BB010137G</t>
  </si>
  <si>
    <t>124755HO</t>
  </si>
  <si>
    <t>JACINT VERDAGUER</t>
  </si>
  <si>
    <t>HOS 112-Poliesportiu Municipal Santa Eulàlia</t>
  </si>
  <si>
    <t>HOS112</t>
  </si>
  <si>
    <t>I22BB010257N</t>
  </si>
  <si>
    <t>166983HO</t>
  </si>
  <si>
    <t>ESTRONCI</t>
  </si>
  <si>
    <t>0044</t>
  </si>
  <si>
    <t>HOS 114-Poliesportiu Municipal Sanfeliu</t>
  </si>
  <si>
    <t>HOS114</t>
  </si>
  <si>
    <t>I22BB051956F</t>
  </si>
  <si>
    <t>DIGOINE</t>
  </si>
  <si>
    <t>HOS 115-Poliesportiu Municipal Centre</t>
  </si>
  <si>
    <t>HOS115</t>
  </si>
  <si>
    <t>I22BC001723Y</t>
  </si>
  <si>
    <t>185519HO</t>
  </si>
  <si>
    <t>175563HO</t>
  </si>
  <si>
    <t>HOS 119-Mercat Merca-2 Can Serra</t>
  </si>
  <si>
    <t>HOS119</t>
  </si>
  <si>
    <t>Fuera proyecto</t>
  </si>
  <si>
    <t>I22BD021841U</t>
  </si>
  <si>
    <t>PARETO</t>
  </si>
  <si>
    <t>0026</t>
  </si>
  <si>
    <t>HOS 122-Mercat de Santa Eulàlia</t>
  </si>
  <si>
    <t>HOS122</t>
  </si>
  <si>
    <t>I22BD089711V</t>
  </si>
  <si>
    <t>TORRENT GORNAL</t>
  </si>
  <si>
    <t>0019</t>
  </si>
  <si>
    <t>HOS 124-Mercat del Torrent Gornal</t>
  </si>
  <si>
    <t>HOS124</t>
  </si>
  <si>
    <t>I23BD021926H</t>
  </si>
  <si>
    <t>002340HO</t>
  </si>
  <si>
    <t>XIPRERET</t>
  </si>
  <si>
    <t>0178</t>
  </si>
  <si>
    <t>HOS 125-Museu de L'Hospitalet - Casa Espanya</t>
  </si>
  <si>
    <t>HOS125</t>
  </si>
  <si>
    <t>I24BC057137B</t>
  </si>
  <si>
    <t>0022</t>
  </si>
  <si>
    <t>HOS 126-Museu de L'Hospitalet - L'Harmonia</t>
  </si>
  <si>
    <t>HOS126</t>
  </si>
  <si>
    <t>I25BD024043L</t>
  </si>
  <si>
    <t>0099</t>
  </si>
  <si>
    <t>HOS 127-Museu de L'Hospitalet - Can Riera</t>
  </si>
  <si>
    <t>HOS127</t>
  </si>
  <si>
    <t>J25FA091773F</t>
  </si>
  <si>
    <t>0232</t>
  </si>
  <si>
    <t>HOS 136-Residencia Els Alps</t>
  </si>
  <si>
    <t>HOS136</t>
  </si>
  <si>
    <t>P14BH094224F</t>
  </si>
  <si>
    <t>REPARTIDOR</t>
  </si>
  <si>
    <t>HOS 139-Escola restaurant El Repartidor / Tragaluz - El Llindar</t>
  </si>
  <si>
    <t>HOS139</t>
  </si>
  <si>
    <t>P16BH813211W</t>
  </si>
  <si>
    <t>173412HO</t>
  </si>
  <si>
    <t>JOVENTUT</t>
  </si>
  <si>
    <t>0004</t>
  </si>
  <si>
    <t>HOS 159-Teatre Joventut</t>
  </si>
  <si>
    <t>HOS159</t>
  </si>
  <si>
    <t>P18AD500319G</t>
  </si>
  <si>
    <t>HOS 162-Edificio de viviendas C. Prat (PDTE VISITA)</t>
  </si>
  <si>
    <t>HOS162</t>
  </si>
  <si>
    <t>P18AD500362J</t>
  </si>
  <si>
    <t>HOS 164-Edificio de viviendas Plaza Guernica  (PDTE VISITA)</t>
  </si>
  <si>
    <t>HOS164</t>
  </si>
  <si>
    <t>P18UE276480O</t>
  </si>
  <si>
    <t>ERMITA DE BELLVITGE</t>
  </si>
  <si>
    <t>0040</t>
  </si>
  <si>
    <t>No asignada a edificio</t>
  </si>
  <si>
    <t>EDV101</t>
  </si>
  <si>
    <t>Casal Ermita</t>
  </si>
  <si>
    <t>P18UE276499Z</t>
  </si>
  <si>
    <t>0075</t>
  </si>
  <si>
    <t>EDV102</t>
  </si>
  <si>
    <t>Casa dels finestrals gòtics</t>
  </si>
  <si>
    <t>P18UF031335N</t>
  </si>
  <si>
    <t>CARMEN AMAYA</t>
  </si>
  <si>
    <t>EDV103</t>
  </si>
  <si>
    <t>Boca de riego</t>
  </si>
  <si>
    <t>P18UG031358B</t>
  </si>
  <si>
    <t>EDV104</t>
  </si>
  <si>
    <t>Escola Bernat Desclot</t>
  </si>
  <si>
    <t>P19UE039975V</t>
  </si>
  <si>
    <t>0122</t>
  </si>
  <si>
    <t>EDV105</t>
  </si>
  <si>
    <t>P19UF003436T</t>
  </si>
  <si>
    <t>FRANÇA</t>
  </si>
  <si>
    <t>EDV106</t>
  </si>
  <si>
    <t>Casal Avis Bellvitge</t>
  </si>
  <si>
    <t>P20AD552738S</t>
  </si>
  <si>
    <t>COLLBLANC</t>
  </si>
  <si>
    <t>0067</t>
  </si>
  <si>
    <t>EDV107</t>
  </si>
  <si>
    <t>P20UH000838Q</t>
  </si>
  <si>
    <t>MANUEL AZAÑA</t>
  </si>
  <si>
    <t>0555</t>
  </si>
  <si>
    <t>EDV108</t>
  </si>
  <si>
    <t>P20VA148641W</t>
  </si>
  <si>
    <t>ESPLUGUES</t>
  </si>
  <si>
    <t>0007</t>
  </si>
  <si>
    <t>EDV109</t>
  </si>
  <si>
    <t>P21UF000569J</t>
  </si>
  <si>
    <t>AMADEU TORNER</t>
  </si>
  <si>
    <t>EDV110</t>
  </si>
  <si>
    <t>P21VA198542C</t>
  </si>
  <si>
    <t>EBRE</t>
  </si>
  <si>
    <t>EDV111</t>
  </si>
  <si>
    <t>P22FA001797H</t>
  </si>
  <si>
    <t>CAN TRIAS</t>
  </si>
  <si>
    <t>EDV112</t>
  </si>
  <si>
    <t>Gornal Activa</t>
  </si>
  <si>
    <t>P23AD727226R</t>
  </si>
  <si>
    <t>IBÈRIA</t>
  </si>
  <si>
    <t>EDV113</t>
  </si>
  <si>
    <t>Casal Avis Pubilla Casas</t>
  </si>
  <si>
    <t>P23FA005374N</t>
  </si>
  <si>
    <t>GIRONA</t>
  </si>
  <si>
    <t>EDV114</t>
  </si>
  <si>
    <t>Casa consistorial 3</t>
  </si>
  <si>
    <t>P23FA015384U</t>
  </si>
  <si>
    <t>0001</t>
  </si>
  <si>
    <t>EDV115</t>
  </si>
  <si>
    <t>P23FA027637J</t>
  </si>
  <si>
    <t>0610</t>
  </si>
  <si>
    <t>EDV116</t>
  </si>
  <si>
    <t>Camp de Futbol Pubilla Casas</t>
  </si>
  <si>
    <t>P23UF789879A</t>
  </si>
  <si>
    <t>MARE DE DÉU DE BELLVITGE</t>
  </si>
  <si>
    <t>0149</t>
  </si>
  <si>
    <t>EDV117</t>
  </si>
  <si>
    <t>C.M. Beisbol</t>
  </si>
  <si>
    <t>P23VA148607V</t>
  </si>
  <si>
    <t>VILANOVA</t>
  </si>
  <si>
    <t>0038</t>
  </si>
  <si>
    <t>EDV118</t>
  </si>
  <si>
    <t>Casal Gornal</t>
  </si>
  <si>
    <t>P24VA123225Q</t>
  </si>
  <si>
    <t>RESIDÊNCIA</t>
  </si>
  <si>
    <t>0522</t>
  </si>
  <si>
    <t>EDV119</t>
  </si>
  <si>
    <t>No está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</si>
</sst>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top"/>
    </xf>
    <xf numFmtId="0" fontId="1" fillId="0" borderId="2" xfId="0" applyFont="1" applyBorder="1"/>
    <xf numFmtId="0" fontId="1" fillId="0" borderId="3" xfId="0" applyFont="1" applyBorder="1"/>
    <xf numFmtId="0" fontId="2" fillId="0" borderId="0" xfId="0" applyFont="1"/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5" xfId="0" applyBorder="1"/>
    <xf numFmtId="0" fontId="0" fillId="0" borderId="6" xfId="0" applyBorder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left"/>
    </xf>
    <xf numFmtId="0" fontId="0" fillId="4" borderId="5" xfId="0" applyFill="1" applyBorder="1"/>
    <xf numFmtId="0" fontId="0" fillId="4" borderId="6" xfId="0" applyFill="1" applyBorder="1"/>
    <xf numFmtId="164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15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A88366-819B-42DC-A685-739EF7387376}" name="Tabla46" displayName="Tabla46" ref="A1:D80" totalsRowShown="0">
  <autoFilter ref="A1:D80" xr:uid="{821277D6-4FB4-4617-9406-477B71D1E0EA}"/>
  <sortState xmlns:xlrd2="http://schemas.microsoft.com/office/spreadsheetml/2017/richdata2" ref="A2:D80">
    <sortCondition ref="A1:A80"/>
  </sortState>
  <tableColumns count="4">
    <tableColumn id="1" xr3:uid="{A4594DF7-FF11-4F01-82D9-CEB0B6FF8110}" name="Name"/>
    <tableColumn id="3" xr3:uid="{ADCAA4DB-F489-4ACA-92C6-CBEBF8978029}" name="Columna1" dataDxfId="14">
      <calculatedColumnFormula>VLOOKUP(Tabla46[[#This Row],[poliza]],[1]!Tabla47[[Póliza]:[HOS]],6,FALSE)</calculatedColumnFormula>
    </tableColumn>
    <tableColumn id="2" xr3:uid="{B4F93CA9-0868-4430-91CA-B13245CA2C6D}" name="poliza" dataDxfId="13"/>
    <tableColumn id="4" xr3:uid="{C88173E7-3DF0-472E-917E-01C51672CB08}" name="Columna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09F408-4793-4548-8F48-0784216BBCF0}" name="Tabla47" displayName="Tabla47" ref="J1:R79" totalsRowShown="0" headerRowDxfId="12" headerRowBorderDxfId="10" tableBorderDxfId="11" totalsRowBorderDxfId="9">
  <autoFilter ref="J1:R79" xr:uid="{BE14ADA5-3E2D-461D-9BB4-25459897E9AA}"/>
  <sortState xmlns:xlrd2="http://schemas.microsoft.com/office/spreadsheetml/2017/richdata2" ref="J2:R79">
    <sortCondition ref="O1:O79"/>
  </sortState>
  <tableColumns count="9">
    <tableColumn id="1" xr3:uid="{EB7826DA-DA67-4890-ABCF-688E2C9B561E}" name="Orden" dataDxfId="8"/>
    <tableColumn id="2" xr3:uid="{687CEC71-2476-4945-8EF9-0CF2D36BF7FC}" name="Póliza" dataDxfId="7"/>
    <tableColumn id="3" xr3:uid="{EAD9213E-6773-484F-8185-794F2EAF51CE}" name="Vía" dataDxfId="6"/>
    <tableColumn id="4" xr3:uid="{F3CC0BEC-0BC0-4E84-B673-D419CD444180}" name="Dirección" dataDxfId="5"/>
    <tableColumn id="5" xr3:uid="{C661AD8C-3F82-4B54-8A52-8D1948A2830D}" name="Número" dataDxfId="4"/>
    <tableColumn id="6" xr3:uid="{898006BF-96FF-47D4-A563-533ADD2248D6}" name="Edificio" dataDxfId="3"/>
    <tableColumn id="7" xr3:uid="{3012920A-3EA7-4398-8F9F-2EC198967177}" name="HOS" dataDxfId="2"/>
    <tableColumn id="8" xr3:uid="{A74FE4B0-58B1-4F52-B5B9-F27EDB25836A}" name="Comentarios Ayto" dataDxfId="1"/>
    <tableColumn id="9" xr3:uid="{2E5054C1-1B96-4E19-A94C-F6AE4E363C4A}" name="Comentario ETR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8A3C8-0319-4CCC-8105-0F7A24CCCB39}">
  <dimension ref="A1:R80"/>
  <sheetViews>
    <sheetView tabSelected="1" workbookViewId="0">
      <selection sqref="A1:XFD1048576"/>
    </sheetView>
  </sheetViews>
  <sheetFormatPr baseColWidth="10" defaultRowHeight="15" x14ac:dyDescent="0.25"/>
  <cols>
    <col min="1" max="1" width="41" customWidth="1"/>
    <col min="2" max="2" width="12.42578125" style="1" bestFit="1" customWidth="1"/>
    <col min="4" max="4" width="43.28515625" customWidth="1"/>
    <col min="13" max="13" width="11.85546875" customWidth="1"/>
    <col min="15" max="15" width="58.140625" bestFit="1" customWidth="1"/>
    <col min="17" max="17" width="19.28515625" customWidth="1"/>
    <col min="18" max="18" width="18.85546875" customWidth="1"/>
  </cols>
  <sheetData>
    <row r="1" spans="1:18" x14ac:dyDescent="0.25">
      <c r="A1" t="s">
        <v>0</v>
      </c>
      <c r="B1" s="1" t="s">
        <v>1</v>
      </c>
      <c r="C1" t="s">
        <v>2</v>
      </c>
      <c r="D1" t="s">
        <v>3</v>
      </c>
      <c r="J1" s="2" t="s">
        <v>4</v>
      </c>
      <c r="K1" s="3" t="s">
        <v>5</v>
      </c>
      <c r="L1" s="3" t="s">
        <v>6</v>
      </c>
      <c r="M1" s="3" t="s">
        <v>7</v>
      </c>
      <c r="N1" s="3" t="s">
        <v>8</v>
      </c>
      <c r="O1" s="4" t="s">
        <v>9</v>
      </c>
      <c r="P1" s="4" t="s">
        <v>10</v>
      </c>
      <c r="Q1" s="4" t="s">
        <v>11</v>
      </c>
      <c r="R1" s="5" t="s">
        <v>12</v>
      </c>
    </row>
    <row r="2" spans="1:18" x14ac:dyDescent="0.25">
      <c r="A2" s="6" t="s">
        <v>13</v>
      </c>
      <c r="B2" s="7" t="str">
        <f>VLOOKUP(Tabla46[[#This Row],[poliza]],Tabla47[[Póliza]:[HOS]],6,FALSE)</f>
        <v>HOS034</v>
      </c>
      <c r="C2" s="8" t="s">
        <v>14</v>
      </c>
      <c r="J2" s="9">
        <v>40</v>
      </c>
      <c r="K2" s="10" t="s">
        <v>15</v>
      </c>
      <c r="L2" s="11" t="s">
        <v>16</v>
      </c>
      <c r="M2" s="11" t="s">
        <v>17</v>
      </c>
      <c r="N2" s="11" t="s">
        <v>18</v>
      </c>
      <c r="O2" s="11" t="s">
        <v>19</v>
      </c>
      <c r="P2" s="11" t="s">
        <v>20</v>
      </c>
      <c r="Q2" s="11"/>
      <c r="R2" s="12"/>
    </row>
    <row r="3" spans="1:18" x14ac:dyDescent="0.25">
      <c r="A3" s="6" t="s">
        <v>21</v>
      </c>
      <c r="B3" s="7" t="str">
        <f>VLOOKUP(Tabla46[[#This Row],[poliza]],Tabla47[[Póliza]:[HOS]],6,FALSE)</f>
        <v>HOS139</v>
      </c>
      <c r="C3" s="8">
        <v>9699545</v>
      </c>
      <c r="J3" s="9">
        <v>76</v>
      </c>
      <c r="K3" s="10" t="s">
        <v>22</v>
      </c>
      <c r="L3" s="11" t="s">
        <v>23</v>
      </c>
      <c r="M3" s="11" t="s">
        <v>24</v>
      </c>
      <c r="N3" s="11" t="s">
        <v>25</v>
      </c>
      <c r="O3" s="11" t="s">
        <v>26</v>
      </c>
      <c r="P3" s="11" t="s">
        <v>27</v>
      </c>
      <c r="Q3" s="11"/>
      <c r="R3" s="12"/>
    </row>
    <row r="4" spans="1:18" x14ac:dyDescent="0.25">
      <c r="A4" s="6" t="s">
        <v>28</v>
      </c>
      <c r="B4" s="7" t="str">
        <f>VLOOKUP(Tabla46[[#This Row],[poliza]],Tabla47[[Póliza]:[HOS]],6,FALSE)</f>
        <v>HOS056</v>
      </c>
      <c r="C4" s="8" t="s">
        <v>29</v>
      </c>
      <c r="J4" s="9">
        <v>26</v>
      </c>
      <c r="K4" s="10" t="s">
        <v>30</v>
      </c>
      <c r="L4" s="11" t="s">
        <v>31</v>
      </c>
      <c r="M4" s="11" t="s">
        <v>32</v>
      </c>
      <c r="N4" s="11" t="s">
        <v>33</v>
      </c>
      <c r="O4" s="11" t="s">
        <v>34</v>
      </c>
      <c r="P4" s="11" t="s">
        <v>35</v>
      </c>
      <c r="Q4" s="11"/>
      <c r="R4" s="12"/>
    </row>
    <row r="5" spans="1:18" x14ac:dyDescent="0.25">
      <c r="A5" s="6" t="s">
        <v>36</v>
      </c>
      <c r="B5" s="7"/>
      <c r="C5" s="8" t="s">
        <v>37</v>
      </c>
      <c r="D5" t="s">
        <v>38</v>
      </c>
      <c r="J5" s="9">
        <v>22</v>
      </c>
      <c r="K5" s="10">
        <v>9642076</v>
      </c>
      <c r="L5" s="11" t="s">
        <v>23</v>
      </c>
      <c r="M5" s="11" t="s">
        <v>39</v>
      </c>
      <c r="N5" s="11" t="s">
        <v>40</v>
      </c>
      <c r="O5" s="11" t="s">
        <v>41</v>
      </c>
      <c r="P5" s="11" t="s">
        <v>42</v>
      </c>
      <c r="Q5" s="11"/>
      <c r="R5" s="12"/>
    </row>
    <row r="6" spans="1:18" x14ac:dyDescent="0.25">
      <c r="A6" s="6" t="s">
        <v>43</v>
      </c>
      <c r="B6" s="7" t="str">
        <f>VLOOKUP(Tabla46[[#This Row],[poliza]],Tabla47[[Póliza]:[HOS]],6,FALSE)</f>
        <v>HOS060</v>
      </c>
      <c r="C6" s="8" t="s">
        <v>44</v>
      </c>
      <c r="J6" s="9">
        <v>46</v>
      </c>
      <c r="K6" s="10">
        <v>9519969</v>
      </c>
      <c r="L6" s="11" t="s">
        <v>23</v>
      </c>
      <c r="M6" s="11" t="s">
        <v>45</v>
      </c>
      <c r="N6" s="11" t="s">
        <v>46</v>
      </c>
      <c r="O6" s="11" t="s">
        <v>47</v>
      </c>
      <c r="P6" s="11" t="s">
        <v>48</v>
      </c>
      <c r="Q6" s="11"/>
      <c r="R6" s="12" t="s">
        <v>49</v>
      </c>
    </row>
    <row r="7" spans="1:18" x14ac:dyDescent="0.25">
      <c r="A7" s="6" t="s">
        <v>50</v>
      </c>
      <c r="B7" s="7" t="str">
        <f>VLOOKUP(Tabla46[[#This Row],[poliza]],Tabla47[[Póliza]:[HOS]],6,FALSE)</f>
        <v>HOS002</v>
      </c>
      <c r="C7" s="8" t="s">
        <v>22</v>
      </c>
      <c r="J7" s="9">
        <v>51</v>
      </c>
      <c r="K7" s="10">
        <v>9469665</v>
      </c>
      <c r="L7" s="11" t="s">
        <v>23</v>
      </c>
      <c r="M7" s="11" t="s">
        <v>51</v>
      </c>
      <c r="N7" s="11" t="s">
        <v>52</v>
      </c>
      <c r="O7" s="11" t="s">
        <v>47</v>
      </c>
      <c r="P7" s="11" t="s">
        <v>48</v>
      </c>
      <c r="Q7" s="11"/>
      <c r="R7" s="12" t="s">
        <v>49</v>
      </c>
    </row>
    <row r="8" spans="1:18" x14ac:dyDescent="0.25">
      <c r="A8" s="6" t="s">
        <v>53</v>
      </c>
      <c r="B8" s="7"/>
      <c r="C8" s="8" t="s">
        <v>54</v>
      </c>
      <c r="D8" t="s">
        <v>38</v>
      </c>
      <c r="J8" s="9">
        <v>8</v>
      </c>
      <c r="K8" s="10" t="s">
        <v>55</v>
      </c>
      <c r="L8" s="11" t="s">
        <v>23</v>
      </c>
      <c r="M8" s="11" t="s">
        <v>56</v>
      </c>
      <c r="N8" s="11" t="s">
        <v>57</v>
      </c>
      <c r="O8" s="11" t="s">
        <v>58</v>
      </c>
      <c r="P8" s="11" t="s">
        <v>59</v>
      </c>
      <c r="Q8" s="11"/>
      <c r="R8" s="12"/>
    </row>
    <row r="9" spans="1:18" x14ac:dyDescent="0.25">
      <c r="A9" s="6" t="s">
        <v>60</v>
      </c>
      <c r="B9" s="7" t="str">
        <f>VLOOKUP(Tabla46[[#This Row],[poliza]],Tabla47[[Póliza]:[HOS]],6,FALSE)</f>
        <v>HOS009</v>
      </c>
      <c r="C9" s="8" t="s">
        <v>61</v>
      </c>
      <c r="J9" s="9">
        <v>30</v>
      </c>
      <c r="K9" s="10">
        <v>9074175</v>
      </c>
      <c r="L9" s="11" t="s">
        <v>62</v>
      </c>
      <c r="M9" s="11" t="s">
        <v>63</v>
      </c>
      <c r="N9" s="11" t="s">
        <v>64</v>
      </c>
      <c r="O9" s="11" t="s">
        <v>65</v>
      </c>
      <c r="P9" s="11" t="s">
        <v>66</v>
      </c>
      <c r="Q9" s="11"/>
      <c r="R9" s="12"/>
    </row>
    <row r="10" spans="1:18" x14ac:dyDescent="0.25">
      <c r="A10" s="6" t="s">
        <v>67</v>
      </c>
      <c r="B10" s="7" t="str">
        <f>VLOOKUP(Tabla46[[#This Row],[poliza]],Tabla47[[Póliza]:[HOS]],6,FALSE)</f>
        <v>HOS164</v>
      </c>
      <c r="C10" s="8">
        <v>9773834</v>
      </c>
      <c r="J10" s="9">
        <v>20</v>
      </c>
      <c r="K10" s="10" t="s">
        <v>61</v>
      </c>
      <c r="L10" s="11" t="s">
        <v>23</v>
      </c>
      <c r="M10" s="11" t="s">
        <v>68</v>
      </c>
      <c r="N10" s="11" t="s">
        <v>69</v>
      </c>
      <c r="O10" s="11" t="s">
        <v>70</v>
      </c>
      <c r="P10" s="11" t="s">
        <v>71</v>
      </c>
      <c r="Q10" s="11"/>
      <c r="R10" s="12"/>
    </row>
    <row r="11" spans="1:18" x14ac:dyDescent="0.25">
      <c r="A11" s="6" t="s">
        <v>72</v>
      </c>
      <c r="B11" s="7" t="str">
        <f>VLOOKUP(Tabla46[[#This Row],[poliza]],Tabla47[[Póliza]:[HOS]],6,FALSE)</f>
        <v>HOS006</v>
      </c>
      <c r="C11" s="8">
        <v>9469665</v>
      </c>
      <c r="D11" t="s">
        <v>73</v>
      </c>
      <c r="J11" s="9">
        <v>19</v>
      </c>
      <c r="K11" s="10" t="s">
        <v>74</v>
      </c>
      <c r="L11" s="11" t="s">
        <v>23</v>
      </c>
      <c r="M11" s="11" t="s">
        <v>75</v>
      </c>
      <c r="N11" s="11" t="s">
        <v>76</v>
      </c>
      <c r="O11" s="11" t="s">
        <v>77</v>
      </c>
      <c r="P11" s="11" t="s">
        <v>78</v>
      </c>
      <c r="Q11" s="11"/>
      <c r="R11" s="12"/>
    </row>
    <row r="12" spans="1:18" x14ac:dyDescent="0.25">
      <c r="A12" s="6" t="s">
        <v>79</v>
      </c>
      <c r="B12" s="7" t="str">
        <f>VLOOKUP(Tabla46[[#This Row],[poliza]],Tabla47[[Póliza]:[HOS]],6,FALSE)</f>
        <v>HOS026</v>
      </c>
      <c r="C12" s="8" t="s">
        <v>80</v>
      </c>
      <c r="J12" s="9">
        <v>55</v>
      </c>
      <c r="K12" s="10" t="s">
        <v>81</v>
      </c>
      <c r="L12" s="11" t="s">
        <v>23</v>
      </c>
      <c r="M12" s="11" t="s">
        <v>82</v>
      </c>
      <c r="N12" s="11" t="s">
        <v>83</v>
      </c>
      <c r="O12" s="11" t="s">
        <v>84</v>
      </c>
      <c r="P12" s="11" t="s">
        <v>85</v>
      </c>
      <c r="Q12" s="11"/>
      <c r="R12" s="12"/>
    </row>
    <row r="13" spans="1:18" x14ac:dyDescent="0.25">
      <c r="A13" s="6" t="s">
        <v>86</v>
      </c>
      <c r="B13" s="7" t="str">
        <f>VLOOKUP(Tabla46[[#This Row],[poliza]],Tabla47[[Póliza]:[HOS]],6,FALSE)</f>
        <v>HOS162</v>
      </c>
      <c r="C13" s="8">
        <v>9487088</v>
      </c>
      <c r="J13" s="9">
        <v>77</v>
      </c>
      <c r="K13" s="10">
        <v>9609230</v>
      </c>
      <c r="L13" s="11" t="s">
        <v>16</v>
      </c>
      <c r="M13" s="11" t="s">
        <v>87</v>
      </c>
      <c r="N13" s="11" t="s">
        <v>88</v>
      </c>
      <c r="O13" s="11" t="s">
        <v>89</v>
      </c>
      <c r="P13" s="11" t="s">
        <v>90</v>
      </c>
      <c r="Q13" s="11"/>
      <c r="R13" s="12"/>
    </row>
    <row r="14" spans="1:18" x14ac:dyDescent="0.25">
      <c r="A14" s="6" t="s">
        <v>91</v>
      </c>
      <c r="B14" s="7"/>
      <c r="C14" s="8" t="s">
        <v>92</v>
      </c>
      <c r="D14" t="s">
        <v>38</v>
      </c>
      <c r="J14" s="9">
        <v>16</v>
      </c>
      <c r="K14" s="10" t="s">
        <v>80</v>
      </c>
      <c r="L14" s="11" t="s">
        <v>23</v>
      </c>
      <c r="M14" s="11" t="s">
        <v>93</v>
      </c>
      <c r="N14" s="11" t="s">
        <v>94</v>
      </c>
      <c r="O14" s="11" t="s">
        <v>95</v>
      </c>
      <c r="P14" s="11" t="s">
        <v>96</v>
      </c>
      <c r="Q14" s="11"/>
      <c r="R14" s="12"/>
    </row>
    <row r="15" spans="1:18" x14ac:dyDescent="0.25">
      <c r="A15" s="6" t="s">
        <v>97</v>
      </c>
      <c r="B15" s="7" t="str">
        <f>VLOOKUP(Tabla46[[#This Row],[poliza]],Tabla47[[Póliza]:[HOS]],6,FALSE)</f>
        <v>HOS029</v>
      </c>
      <c r="C15" s="8">
        <v>9456908</v>
      </c>
      <c r="J15" s="9">
        <v>29</v>
      </c>
      <c r="K15" s="10" t="s">
        <v>98</v>
      </c>
      <c r="L15" s="11" t="s">
        <v>23</v>
      </c>
      <c r="M15" s="11" t="s">
        <v>99</v>
      </c>
      <c r="N15" s="11" t="s">
        <v>18</v>
      </c>
      <c r="O15" s="11" t="s">
        <v>100</v>
      </c>
      <c r="P15" s="11" t="s">
        <v>101</v>
      </c>
      <c r="Q15" s="11"/>
      <c r="R15" s="12"/>
    </row>
    <row r="16" spans="1:18" x14ac:dyDescent="0.25">
      <c r="A16" s="6" t="s">
        <v>102</v>
      </c>
      <c r="B16" s="7" t="str">
        <f>VLOOKUP(Tabla46[[#This Row],[poliza]],Tabla47[[Póliza]:[HOS]],6,FALSE)</f>
        <v>HOS127</v>
      </c>
      <c r="C16" s="8" t="s">
        <v>103</v>
      </c>
      <c r="J16" s="9">
        <v>10</v>
      </c>
      <c r="K16" s="10">
        <v>9456908</v>
      </c>
      <c r="L16" s="11" t="s">
        <v>23</v>
      </c>
      <c r="M16" s="11" t="s">
        <v>104</v>
      </c>
      <c r="N16" s="11" t="s">
        <v>105</v>
      </c>
      <c r="O16" s="11" t="s">
        <v>106</v>
      </c>
      <c r="P16" s="11" t="s">
        <v>107</v>
      </c>
      <c r="Q16" s="11"/>
      <c r="R16" s="12"/>
    </row>
    <row r="17" spans="1:18" x14ac:dyDescent="0.25">
      <c r="A17" s="6" t="s">
        <v>108</v>
      </c>
      <c r="B17" s="7" t="str">
        <f>VLOOKUP(Tabla46[[#This Row],[poliza]],Tabla47[[Póliza]:[HOS]],6,FALSE)</f>
        <v>HOS028</v>
      </c>
      <c r="C17" s="8" t="s">
        <v>98</v>
      </c>
      <c r="J17" s="9">
        <v>52</v>
      </c>
      <c r="K17" s="10" t="s">
        <v>109</v>
      </c>
      <c r="L17" s="11" t="s">
        <v>110</v>
      </c>
      <c r="M17" s="11" t="s">
        <v>111</v>
      </c>
      <c r="N17" s="11" t="s">
        <v>112</v>
      </c>
      <c r="O17" s="11" t="s">
        <v>113</v>
      </c>
      <c r="P17" s="11" t="s">
        <v>114</v>
      </c>
      <c r="Q17" s="11"/>
      <c r="R17" s="12"/>
    </row>
    <row r="18" spans="1:18" x14ac:dyDescent="0.25">
      <c r="A18" s="6" t="s">
        <v>115</v>
      </c>
      <c r="B18" s="7"/>
      <c r="C18" s="8">
        <v>9010140</v>
      </c>
      <c r="D18" t="s">
        <v>38</v>
      </c>
      <c r="J18" s="9">
        <v>2</v>
      </c>
      <c r="K18" s="10" t="s">
        <v>14</v>
      </c>
      <c r="L18" s="11" t="s">
        <v>23</v>
      </c>
      <c r="M18" s="11" t="s">
        <v>116</v>
      </c>
      <c r="N18" s="11" t="s">
        <v>117</v>
      </c>
      <c r="O18" s="11" t="s">
        <v>118</v>
      </c>
      <c r="P18" s="11" t="s">
        <v>119</v>
      </c>
      <c r="Q18" s="11"/>
      <c r="R18" s="12"/>
    </row>
    <row r="19" spans="1:18" x14ac:dyDescent="0.25">
      <c r="A19" s="6" t="s">
        <v>120</v>
      </c>
      <c r="B19" s="7"/>
      <c r="C19" s="8">
        <v>9068956</v>
      </c>
      <c r="D19" t="s">
        <v>38</v>
      </c>
      <c r="J19" s="9">
        <v>57</v>
      </c>
      <c r="K19" s="10">
        <v>9429770</v>
      </c>
      <c r="L19" s="11" t="s">
        <v>23</v>
      </c>
      <c r="M19" s="11" t="s">
        <v>121</v>
      </c>
      <c r="N19" s="11" t="s">
        <v>122</v>
      </c>
      <c r="O19" s="11" t="s">
        <v>123</v>
      </c>
      <c r="P19" s="11" t="s">
        <v>124</v>
      </c>
      <c r="Q19" s="11"/>
      <c r="R19" s="12"/>
    </row>
    <row r="20" spans="1:18" x14ac:dyDescent="0.25">
      <c r="A20" t="s">
        <v>125</v>
      </c>
      <c r="B20" s="13" t="str">
        <f>VLOOKUP(Tabla46[[#This Row],[poliza]],Tabla47[[Póliza]:[HOS]],6,FALSE)</f>
        <v>HOS023</v>
      </c>
      <c r="C20" s="1">
        <v>9609230</v>
      </c>
      <c r="J20" s="9">
        <v>9</v>
      </c>
      <c r="K20" s="10">
        <v>9842856</v>
      </c>
      <c r="L20" s="11" t="s">
        <v>23</v>
      </c>
      <c r="M20" s="11" t="s">
        <v>126</v>
      </c>
      <c r="N20" s="11" t="s">
        <v>127</v>
      </c>
      <c r="O20" s="11" t="s">
        <v>128</v>
      </c>
      <c r="P20" s="11" t="s">
        <v>129</v>
      </c>
      <c r="Q20" s="11"/>
      <c r="R20" s="12"/>
    </row>
    <row r="21" spans="1:18" x14ac:dyDescent="0.25">
      <c r="A21" s="6" t="s">
        <v>130</v>
      </c>
      <c r="B21" s="7"/>
      <c r="C21" s="8">
        <v>9765718</v>
      </c>
      <c r="D21" t="s">
        <v>38</v>
      </c>
      <c r="J21" s="9">
        <v>64</v>
      </c>
      <c r="K21" s="10" t="s">
        <v>131</v>
      </c>
      <c r="L21" s="11" t="s">
        <v>23</v>
      </c>
      <c r="M21" s="11" t="s">
        <v>132</v>
      </c>
      <c r="N21" s="11" t="s">
        <v>133</v>
      </c>
      <c r="O21" s="11" t="s">
        <v>134</v>
      </c>
      <c r="P21" s="11" t="s">
        <v>135</v>
      </c>
      <c r="Q21" s="11"/>
      <c r="R21" s="12"/>
    </row>
    <row r="22" spans="1:18" x14ac:dyDescent="0.25">
      <c r="A22" t="s">
        <v>136</v>
      </c>
      <c r="B22" s="13" t="str">
        <f>VLOOKUP(Tabla46[[#This Row],[poliza]],Tabla47[[Póliza]:[HOS]],6,FALSE)</f>
        <v>HOS136</v>
      </c>
      <c r="C22" s="1">
        <v>9554921</v>
      </c>
      <c r="J22" s="9">
        <v>75</v>
      </c>
      <c r="K22" s="10" t="s">
        <v>137</v>
      </c>
      <c r="L22" s="11" t="s">
        <v>23</v>
      </c>
      <c r="M22" s="11" t="s">
        <v>132</v>
      </c>
      <c r="N22" s="11" t="s">
        <v>138</v>
      </c>
      <c r="O22" s="11" t="s">
        <v>139</v>
      </c>
      <c r="P22" s="11" t="s">
        <v>140</v>
      </c>
      <c r="Q22" s="11"/>
      <c r="R22" s="12"/>
    </row>
    <row r="23" spans="1:18" x14ac:dyDescent="0.25">
      <c r="A23" t="s">
        <v>141</v>
      </c>
      <c r="B23" s="1" t="str">
        <f>VLOOKUP(Tabla46[[#This Row],[poliza]],Tabla47[[Póliza]:[HOS]],6,FALSE)</f>
        <v>HOS022</v>
      </c>
      <c r="C23" s="1" t="s">
        <v>81</v>
      </c>
      <c r="J23" s="9">
        <v>59</v>
      </c>
      <c r="K23" s="10">
        <v>1146766</v>
      </c>
      <c r="L23" s="11" t="s">
        <v>23</v>
      </c>
      <c r="M23" s="11" t="s">
        <v>142</v>
      </c>
      <c r="N23" s="11" t="s">
        <v>143</v>
      </c>
      <c r="O23" s="11" t="s">
        <v>144</v>
      </c>
      <c r="P23" s="11" t="s">
        <v>145</v>
      </c>
      <c r="Q23" s="11"/>
      <c r="R23" s="12"/>
    </row>
    <row r="24" spans="1:18" x14ac:dyDescent="0.25">
      <c r="A24" t="s">
        <v>146</v>
      </c>
      <c r="B24" s="1" t="str">
        <f>VLOOKUP(Tabla46[[#This Row],[poliza]],Tabla47[[Póliza]:[HOS]],6,FALSE)</f>
        <v>HOS007</v>
      </c>
      <c r="C24" s="1" t="s">
        <v>55</v>
      </c>
      <c r="J24" s="9">
        <v>5</v>
      </c>
      <c r="K24" s="10" t="s">
        <v>147</v>
      </c>
      <c r="L24" s="11" t="s">
        <v>62</v>
      </c>
      <c r="M24" s="11" t="s">
        <v>148</v>
      </c>
      <c r="N24" s="11" t="s">
        <v>149</v>
      </c>
      <c r="O24" s="11" t="s">
        <v>150</v>
      </c>
      <c r="P24" s="11" t="s">
        <v>151</v>
      </c>
      <c r="Q24" s="11"/>
      <c r="R24" s="12"/>
    </row>
    <row r="25" spans="1:18" x14ac:dyDescent="0.25">
      <c r="A25" s="6" t="s">
        <v>152</v>
      </c>
      <c r="B25" s="8" t="str">
        <f>VLOOKUP(Tabla46[[#This Row],[poliza]],Tabla47[[Póliza]:[HOS]],6,FALSE)</f>
        <v>HOS004</v>
      </c>
      <c r="C25" s="8" t="s">
        <v>30</v>
      </c>
      <c r="J25" s="9">
        <v>58</v>
      </c>
      <c r="K25" s="10" t="s">
        <v>153</v>
      </c>
      <c r="L25" s="11" t="s">
        <v>23</v>
      </c>
      <c r="M25" s="11" t="s">
        <v>154</v>
      </c>
      <c r="N25" s="11" t="s">
        <v>155</v>
      </c>
      <c r="O25" s="11" t="s">
        <v>156</v>
      </c>
      <c r="P25" s="11" t="s">
        <v>157</v>
      </c>
      <c r="Q25" s="11"/>
      <c r="R25" s="12"/>
    </row>
    <row r="26" spans="1:18" x14ac:dyDescent="0.25">
      <c r="A26" t="s">
        <v>158</v>
      </c>
      <c r="B26" s="1" t="str">
        <f>VLOOKUP(Tabla46[[#This Row],[poliza]],Tabla47[[Póliza]:[HOS]],6,FALSE)</f>
        <v>HOS047</v>
      </c>
      <c r="C26" s="1" t="s">
        <v>159</v>
      </c>
      <c r="J26" s="9">
        <v>25</v>
      </c>
      <c r="K26" s="10" t="s">
        <v>159</v>
      </c>
      <c r="L26" s="11" t="s">
        <v>62</v>
      </c>
      <c r="M26" s="11" t="s">
        <v>160</v>
      </c>
      <c r="N26" s="11" t="s">
        <v>161</v>
      </c>
      <c r="O26" s="11" t="s">
        <v>162</v>
      </c>
      <c r="P26" s="11" t="s">
        <v>163</v>
      </c>
      <c r="Q26" s="11"/>
      <c r="R26" s="12"/>
    </row>
    <row r="27" spans="1:18" x14ac:dyDescent="0.25">
      <c r="A27" s="6" t="s">
        <v>164</v>
      </c>
      <c r="B27" s="8"/>
      <c r="C27" s="8" t="s">
        <v>165</v>
      </c>
      <c r="D27" t="s">
        <v>38</v>
      </c>
      <c r="J27" s="9">
        <v>28</v>
      </c>
      <c r="K27" s="10" t="s">
        <v>166</v>
      </c>
      <c r="L27" s="11" t="s">
        <v>23</v>
      </c>
      <c r="M27" s="11" t="s">
        <v>167</v>
      </c>
      <c r="N27" s="11" t="s">
        <v>168</v>
      </c>
      <c r="O27" s="11" t="s">
        <v>169</v>
      </c>
      <c r="P27" s="11" t="s">
        <v>170</v>
      </c>
      <c r="Q27" s="11"/>
      <c r="R27" s="12"/>
    </row>
    <row r="28" spans="1:18" x14ac:dyDescent="0.25">
      <c r="A28" s="6" t="s">
        <v>171</v>
      </c>
      <c r="B28" s="8"/>
      <c r="C28" s="8" t="s">
        <v>172</v>
      </c>
      <c r="D28" t="s">
        <v>38</v>
      </c>
      <c r="J28" s="9">
        <v>38</v>
      </c>
      <c r="K28" s="10" t="s">
        <v>173</v>
      </c>
      <c r="L28" s="11" t="s">
        <v>62</v>
      </c>
      <c r="M28" s="11" t="s">
        <v>148</v>
      </c>
      <c r="N28" s="11" t="s">
        <v>174</v>
      </c>
      <c r="O28" s="11" t="s">
        <v>175</v>
      </c>
      <c r="P28" s="11" t="s">
        <v>176</v>
      </c>
      <c r="Q28" s="11"/>
      <c r="R28" s="12"/>
    </row>
    <row r="29" spans="1:18" x14ac:dyDescent="0.25">
      <c r="A29" t="s">
        <v>177</v>
      </c>
      <c r="B29" s="1" t="str">
        <f>VLOOKUP(Tabla46[[#This Row],[poliza]],Tabla47[[Póliza]:[HOS]],6,FALSE)</f>
        <v>HOS061</v>
      </c>
      <c r="C29" s="1" t="s">
        <v>178</v>
      </c>
      <c r="J29" s="9">
        <v>53</v>
      </c>
      <c r="K29" s="10" t="s">
        <v>179</v>
      </c>
      <c r="L29" s="11" t="s">
        <v>23</v>
      </c>
      <c r="M29" s="11" t="s">
        <v>180</v>
      </c>
      <c r="N29" s="11" t="s">
        <v>181</v>
      </c>
      <c r="O29" s="11" t="s">
        <v>182</v>
      </c>
      <c r="P29" s="11" t="s">
        <v>183</v>
      </c>
      <c r="Q29" s="11"/>
      <c r="R29" s="12"/>
    </row>
    <row r="30" spans="1:18" x14ac:dyDescent="0.25">
      <c r="A30" t="s">
        <v>184</v>
      </c>
      <c r="B30" s="1" t="str">
        <f>VLOOKUP(Tabla46[[#This Row],[poliza]],Tabla47[[Póliza]:[HOS]],6,FALSE)</f>
        <v>HOS064</v>
      </c>
      <c r="C30" s="1" t="s">
        <v>185</v>
      </c>
      <c r="J30" s="9">
        <v>27</v>
      </c>
      <c r="K30" s="10" t="s">
        <v>186</v>
      </c>
      <c r="L30" s="11" t="s">
        <v>23</v>
      </c>
      <c r="M30" s="11" t="s">
        <v>187</v>
      </c>
      <c r="N30" s="11" t="s">
        <v>188</v>
      </c>
      <c r="O30" s="11" t="s">
        <v>189</v>
      </c>
      <c r="P30" s="11" t="s">
        <v>190</v>
      </c>
      <c r="Q30" s="11"/>
      <c r="R30" s="12"/>
    </row>
    <row r="31" spans="1:18" x14ac:dyDescent="0.25">
      <c r="A31" t="s">
        <v>191</v>
      </c>
      <c r="B31" s="1" t="str">
        <f>VLOOKUP(Tabla46[[#This Row],[poliza]],Tabla47[[Póliza]:[HOS]],6,FALSE)</f>
        <v>HOS053</v>
      </c>
      <c r="C31" s="1" t="s">
        <v>186</v>
      </c>
      <c r="J31" s="9">
        <v>73</v>
      </c>
      <c r="K31" s="10" t="s">
        <v>192</v>
      </c>
      <c r="L31" s="11" t="s">
        <v>23</v>
      </c>
      <c r="M31" s="11" t="s">
        <v>45</v>
      </c>
      <c r="N31" s="11" t="s">
        <v>193</v>
      </c>
      <c r="O31" s="11" t="s">
        <v>194</v>
      </c>
      <c r="P31" s="11" t="s">
        <v>195</v>
      </c>
      <c r="Q31" s="11"/>
      <c r="R31" s="12"/>
    </row>
    <row r="32" spans="1:18" x14ac:dyDescent="0.25">
      <c r="A32" t="s">
        <v>196</v>
      </c>
      <c r="B32" s="1" t="str">
        <f>VLOOKUP(Tabla46[[#This Row],[poliza]],Tabla47[[Póliza]:[HOS]],6,FALSE)</f>
        <v>HOS054</v>
      </c>
      <c r="C32" s="1" t="s">
        <v>192</v>
      </c>
      <c r="J32" s="9">
        <v>43</v>
      </c>
      <c r="K32" s="10" t="s">
        <v>197</v>
      </c>
      <c r="L32" s="11" t="s">
        <v>23</v>
      </c>
      <c r="M32" s="11" t="s">
        <v>198</v>
      </c>
      <c r="N32" s="11" t="s">
        <v>199</v>
      </c>
      <c r="O32" s="11" t="s">
        <v>200</v>
      </c>
      <c r="P32" s="11" t="s">
        <v>201</v>
      </c>
      <c r="Q32" s="11"/>
      <c r="R32" s="12"/>
    </row>
    <row r="33" spans="1:18" x14ac:dyDescent="0.25">
      <c r="A33" t="s">
        <v>202</v>
      </c>
      <c r="B33" s="1" t="str">
        <f>VLOOKUP(Tabla46[[#This Row],[poliza]],Tabla47[[Póliza]:[HOS]],6,FALSE)</f>
        <v>HOS062</v>
      </c>
      <c r="C33" s="1">
        <v>9592126</v>
      </c>
      <c r="J33" s="9">
        <v>62</v>
      </c>
      <c r="K33" s="10" t="s">
        <v>29</v>
      </c>
      <c r="L33" s="11" t="s">
        <v>62</v>
      </c>
      <c r="M33" s="11" t="s">
        <v>203</v>
      </c>
      <c r="N33" s="11" t="s">
        <v>204</v>
      </c>
      <c r="O33" s="11" t="s">
        <v>205</v>
      </c>
      <c r="P33" s="11" t="s">
        <v>206</v>
      </c>
      <c r="Q33" s="11"/>
      <c r="R33" s="12"/>
    </row>
    <row r="34" spans="1:18" x14ac:dyDescent="0.25">
      <c r="A34" t="s">
        <v>207</v>
      </c>
      <c r="B34" s="1" t="str">
        <f>VLOOKUP(Tabla46[[#This Row],[poliza]],Tabla47[[Póliza]:[HOS]],6,FALSE)</f>
        <v>HOS057</v>
      </c>
      <c r="C34" s="1" t="s">
        <v>208</v>
      </c>
      <c r="J34" s="9">
        <v>7</v>
      </c>
      <c r="K34" s="10" t="s">
        <v>208</v>
      </c>
      <c r="L34" s="11" t="s">
        <v>23</v>
      </c>
      <c r="M34" s="11" t="s">
        <v>209</v>
      </c>
      <c r="N34" s="11" t="s">
        <v>112</v>
      </c>
      <c r="O34" s="11" t="s">
        <v>210</v>
      </c>
      <c r="P34" s="11" t="s">
        <v>211</v>
      </c>
      <c r="Q34" s="11"/>
      <c r="R34" s="12"/>
    </row>
    <row r="35" spans="1:18" x14ac:dyDescent="0.25">
      <c r="A35" t="s">
        <v>212</v>
      </c>
      <c r="B35" s="1" t="str">
        <f>VLOOKUP(Tabla46[[#This Row],[poliza]],Tabla47[[Póliza]:[HOS]],6,FALSE)</f>
        <v>HOS106</v>
      </c>
      <c r="C35" s="1" t="s">
        <v>213</v>
      </c>
      <c r="J35" s="9">
        <v>48</v>
      </c>
      <c r="K35" s="10" t="s">
        <v>214</v>
      </c>
      <c r="L35" s="11" t="s">
        <v>215</v>
      </c>
      <c r="M35" s="11" t="s">
        <v>216</v>
      </c>
      <c r="N35" s="11" t="s">
        <v>217</v>
      </c>
      <c r="O35" s="11" t="s">
        <v>218</v>
      </c>
      <c r="P35" s="11" t="s">
        <v>219</v>
      </c>
      <c r="Q35" s="11"/>
      <c r="R35" s="12"/>
    </row>
    <row r="36" spans="1:18" x14ac:dyDescent="0.25">
      <c r="A36" s="6" t="s">
        <v>220</v>
      </c>
      <c r="B36" s="8"/>
      <c r="C36" s="8">
        <v>9060045</v>
      </c>
      <c r="D36" t="s">
        <v>38</v>
      </c>
      <c r="J36" s="9">
        <v>66</v>
      </c>
      <c r="K36" s="10" t="s">
        <v>221</v>
      </c>
      <c r="L36" s="11" t="s">
        <v>23</v>
      </c>
      <c r="M36" s="11" t="s">
        <v>222</v>
      </c>
      <c r="N36" s="11" t="s">
        <v>223</v>
      </c>
      <c r="O36" s="11" t="s">
        <v>224</v>
      </c>
      <c r="P36" s="11" t="s">
        <v>225</v>
      </c>
      <c r="Q36" s="11"/>
      <c r="R36" s="12"/>
    </row>
    <row r="37" spans="1:18" x14ac:dyDescent="0.25">
      <c r="A37" s="6" t="s">
        <v>226</v>
      </c>
      <c r="B37" s="8" t="str">
        <f>VLOOKUP(Tabla46[[#This Row],[poliza]],Tabla47[[Póliza]:[HOS]],6,FALSE)</f>
        <v>HOS001</v>
      </c>
      <c r="C37" s="8" t="s">
        <v>15</v>
      </c>
      <c r="J37" s="9">
        <v>4</v>
      </c>
      <c r="K37" s="10" t="s">
        <v>44</v>
      </c>
      <c r="L37" s="11" t="s">
        <v>16</v>
      </c>
      <c r="M37" s="11" t="s">
        <v>227</v>
      </c>
      <c r="N37" s="11" t="s">
        <v>228</v>
      </c>
      <c r="O37" s="11" t="s">
        <v>229</v>
      </c>
      <c r="P37" s="11" t="s">
        <v>230</v>
      </c>
      <c r="Q37" s="11"/>
      <c r="R37" s="12"/>
    </row>
    <row r="38" spans="1:18" x14ac:dyDescent="0.25">
      <c r="A38" s="6" t="s">
        <v>231</v>
      </c>
      <c r="B38" s="8"/>
      <c r="C38" s="8">
        <v>9799175</v>
      </c>
      <c r="D38" t="s">
        <v>38</v>
      </c>
      <c r="J38" s="9">
        <v>32</v>
      </c>
      <c r="K38" s="10" t="s">
        <v>178</v>
      </c>
      <c r="L38" s="11" t="s">
        <v>16</v>
      </c>
      <c r="M38" s="11" t="s">
        <v>232</v>
      </c>
      <c r="N38" s="11" t="s">
        <v>155</v>
      </c>
      <c r="O38" s="11" t="s">
        <v>233</v>
      </c>
      <c r="P38" s="11" t="s">
        <v>234</v>
      </c>
      <c r="Q38" s="11"/>
      <c r="R38" s="12"/>
    </row>
    <row r="39" spans="1:18" x14ac:dyDescent="0.25">
      <c r="A39" s="6" t="s">
        <v>235</v>
      </c>
      <c r="B39" s="8"/>
      <c r="C39" s="8">
        <v>9369887</v>
      </c>
      <c r="D39" t="s">
        <v>38</v>
      </c>
      <c r="J39" s="9">
        <v>17</v>
      </c>
      <c r="K39" s="10">
        <v>9592126</v>
      </c>
      <c r="L39" s="11" t="s">
        <v>23</v>
      </c>
      <c r="M39" s="11" t="s">
        <v>236</v>
      </c>
      <c r="N39" s="11" t="s">
        <v>237</v>
      </c>
      <c r="O39" s="11" t="s">
        <v>238</v>
      </c>
      <c r="P39" s="11" t="s">
        <v>239</v>
      </c>
      <c r="Q39" s="11"/>
      <c r="R39" s="12"/>
    </row>
    <row r="40" spans="1:18" x14ac:dyDescent="0.25">
      <c r="A40" t="s">
        <v>240</v>
      </c>
      <c r="B40" s="1" t="str">
        <f>VLOOKUP(Tabla46[[#This Row],[poliza]],Tabla47[[Póliza]:[HOS]],6,FALSE)</f>
        <v>HOS070</v>
      </c>
      <c r="C40" s="1">
        <v>9424216</v>
      </c>
      <c r="J40" s="9">
        <v>13</v>
      </c>
      <c r="K40" s="10">
        <v>9462784</v>
      </c>
      <c r="L40" s="11" t="s">
        <v>23</v>
      </c>
      <c r="M40" s="11" t="s">
        <v>241</v>
      </c>
      <c r="N40" s="11" t="s">
        <v>18</v>
      </c>
      <c r="O40" s="11" t="s">
        <v>242</v>
      </c>
      <c r="P40" s="11" t="s">
        <v>243</v>
      </c>
      <c r="Q40" s="11"/>
      <c r="R40" s="12"/>
    </row>
    <row r="41" spans="1:18" x14ac:dyDescent="0.25">
      <c r="A41" t="s">
        <v>244</v>
      </c>
      <c r="B41" s="1" t="str">
        <f>VLOOKUP(Tabla46[[#This Row],[poliza]],Tabla47[[Póliza]:[HOS]],6,FALSE)</f>
        <v>HOS039</v>
      </c>
      <c r="C41" s="1" t="s">
        <v>137</v>
      </c>
      <c r="J41" s="9">
        <v>68</v>
      </c>
      <c r="K41" s="10" t="s">
        <v>185</v>
      </c>
      <c r="L41" s="11" t="s">
        <v>62</v>
      </c>
      <c r="M41" s="11" t="s">
        <v>245</v>
      </c>
      <c r="N41" s="11" t="s">
        <v>18</v>
      </c>
      <c r="O41" s="11" t="s">
        <v>246</v>
      </c>
      <c r="P41" s="11" t="s">
        <v>247</v>
      </c>
      <c r="Q41" s="11"/>
      <c r="R41" s="12"/>
    </row>
    <row r="42" spans="1:18" x14ac:dyDescent="0.25">
      <c r="A42" t="s">
        <v>248</v>
      </c>
      <c r="B42" s="1" t="str">
        <f>VLOOKUP(Tabla46[[#This Row],[poliza]],Tabla47[[Póliza]:[HOS]],6,FALSE)</f>
        <v>HOS036</v>
      </c>
      <c r="C42" s="1">
        <v>9842856</v>
      </c>
      <c r="J42" s="9">
        <v>65</v>
      </c>
      <c r="K42" s="10" t="s">
        <v>249</v>
      </c>
      <c r="L42" s="11" t="s">
        <v>23</v>
      </c>
      <c r="M42" s="11" t="s">
        <v>250</v>
      </c>
      <c r="N42" s="11" t="s">
        <v>46</v>
      </c>
      <c r="O42" s="11" t="s">
        <v>251</v>
      </c>
      <c r="P42" s="11" t="s">
        <v>252</v>
      </c>
      <c r="Q42" s="11"/>
      <c r="R42" s="12"/>
    </row>
    <row r="43" spans="1:18" x14ac:dyDescent="0.25">
      <c r="A43" s="6" t="s">
        <v>253</v>
      </c>
      <c r="B43" s="8"/>
      <c r="C43" s="8">
        <v>9551851</v>
      </c>
      <c r="D43" t="s">
        <v>38</v>
      </c>
      <c r="J43" s="9">
        <v>44</v>
      </c>
      <c r="K43" s="10">
        <v>9424216</v>
      </c>
      <c r="L43" s="11" t="s">
        <v>110</v>
      </c>
      <c r="M43" s="11" t="s">
        <v>254</v>
      </c>
      <c r="N43" s="11" t="s">
        <v>255</v>
      </c>
      <c r="O43" s="11" t="s">
        <v>256</v>
      </c>
      <c r="P43" s="11" t="s">
        <v>257</v>
      </c>
      <c r="Q43" s="11"/>
      <c r="R43" s="12"/>
    </row>
    <row r="44" spans="1:18" x14ac:dyDescent="0.25">
      <c r="A44" t="s">
        <v>258</v>
      </c>
      <c r="B44" s="1" t="str">
        <f>VLOOKUP(Tabla46[[#This Row],[poliza]],Tabla47[[Póliza]:[HOS]],6,FALSE)</f>
        <v>HOS051</v>
      </c>
      <c r="C44" s="1" t="s">
        <v>179</v>
      </c>
      <c r="J44" s="9">
        <v>39</v>
      </c>
      <c r="K44" s="10" t="s">
        <v>213</v>
      </c>
      <c r="L44" s="11" t="s">
        <v>23</v>
      </c>
      <c r="M44" s="11" t="s">
        <v>259</v>
      </c>
      <c r="N44" s="11" t="s">
        <v>260</v>
      </c>
      <c r="O44" s="11" t="s">
        <v>261</v>
      </c>
      <c r="P44" s="11" t="s">
        <v>262</v>
      </c>
      <c r="Q44" s="11"/>
      <c r="R44" s="12"/>
    </row>
    <row r="45" spans="1:18" x14ac:dyDescent="0.25">
      <c r="A45" t="s">
        <v>263</v>
      </c>
      <c r="B45" s="1" t="str">
        <f>VLOOKUP(Tabla46[[#This Row],[poliza]],Tabla47[[Póliza]:[HOS]],6,FALSE)</f>
        <v>HOS114</v>
      </c>
      <c r="C45" s="1">
        <v>9361409</v>
      </c>
      <c r="J45" s="9">
        <v>67</v>
      </c>
      <c r="K45" s="10" t="s">
        <v>264</v>
      </c>
      <c r="L45" s="11" t="s">
        <v>23</v>
      </c>
      <c r="M45" s="11" t="s">
        <v>82</v>
      </c>
      <c r="N45" s="11" t="s">
        <v>174</v>
      </c>
      <c r="O45" s="11" t="s">
        <v>265</v>
      </c>
      <c r="P45" s="11" t="s">
        <v>266</v>
      </c>
      <c r="Q45" s="11"/>
      <c r="R45" s="12"/>
    </row>
    <row r="46" spans="1:18" x14ac:dyDescent="0.25">
      <c r="A46" s="6" t="s">
        <v>267</v>
      </c>
      <c r="B46" s="8"/>
      <c r="C46" s="8">
        <v>9551274</v>
      </c>
      <c r="D46" t="s">
        <v>38</v>
      </c>
      <c r="J46" s="9">
        <v>72</v>
      </c>
      <c r="K46" s="10" t="s">
        <v>268</v>
      </c>
      <c r="L46" s="11" t="s">
        <v>23</v>
      </c>
      <c r="M46" s="11" t="s">
        <v>269</v>
      </c>
      <c r="N46" s="11" t="s">
        <v>270</v>
      </c>
      <c r="O46" s="11" t="s">
        <v>271</v>
      </c>
      <c r="P46" s="11" t="s">
        <v>272</v>
      </c>
      <c r="Q46" s="11"/>
      <c r="R46" s="12"/>
    </row>
    <row r="47" spans="1:18" x14ac:dyDescent="0.25">
      <c r="A47" t="s">
        <v>273</v>
      </c>
      <c r="B47" s="1" t="str">
        <f>VLOOKUP(Tabla46[[#This Row],[poliza]],Tabla47[[Póliza]:[HOS]],6,FALSE)</f>
        <v>HOS041</v>
      </c>
      <c r="C47" s="1">
        <v>1146766</v>
      </c>
      <c r="J47" s="9">
        <v>12</v>
      </c>
      <c r="K47" s="10" t="s">
        <v>274</v>
      </c>
      <c r="L47" s="11" t="s">
        <v>23</v>
      </c>
      <c r="M47" s="11" t="s">
        <v>275</v>
      </c>
      <c r="N47" s="11" t="s">
        <v>88</v>
      </c>
      <c r="O47" s="11" t="s">
        <v>276</v>
      </c>
      <c r="P47" s="11" t="s">
        <v>277</v>
      </c>
      <c r="Q47" s="11"/>
      <c r="R47" s="12"/>
    </row>
    <row r="48" spans="1:18" x14ac:dyDescent="0.25">
      <c r="A48" s="6" t="s">
        <v>278</v>
      </c>
      <c r="B48" s="8"/>
      <c r="C48" s="8" t="s">
        <v>279</v>
      </c>
      <c r="D48" t="s">
        <v>38</v>
      </c>
      <c r="J48" s="9">
        <v>11</v>
      </c>
      <c r="K48" s="10">
        <v>9361409</v>
      </c>
      <c r="L48" s="11" t="s">
        <v>23</v>
      </c>
      <c r="M48" s="11" t="s">
        <v>280</v>
      </c>
      <c r="N48" s="11" t="s">
        <v>281</v>
      </c>
      <c r="O48" s="11" t="s">
        <v>282</v>
      </c>
      <c r="P48" s="11" t="s">
        <v>283</v>
      </c>
      <c r="Q48" s="11"/>
      <c r="R48" s="12"/>
    </row>
    <row r="49" spans="1:18" x14ac:dyDescent="0.25">
      <c r="A49" t="s">
        <v>284</v>
      </c>
      <c r="B49" s="14" t="str">
        <f>VLOOKUP(Tabla46[[#This Row],[poliza]],Tabla47[[Póliza]:[HOS]],6,FALSE)</f>
        <v>HOS006</v>
      </c>
      <c r="C49" s="1">
        <v>9519969</v>
      </c>
      <c r="D49" t="s">
        <v>73</v>
      </c>
      <c r="J49" s="9">
        <v>56</v>
      </c>
      <c r="K49" s="10">
        <v>9415557</v>
      </c>
      <c r="L49" s="11" t="s">
        <v>23</v>
      </c>
      <c r="M49" s="11" t="s">
        <v>285</v>
      </c>
      <c r="N49" s="11" t="s">
        <v>237</v>
      </c>
      <c r="O49" s="11" t="s">
        <v>286</v>
      </c>
      <c r="P49" s="11" t="s">
        <v>287</v>
      </c>
      <c r="Q49" s="11"/>
      <c r="R49" s="12"/>
    </row>
    <row r="50" spans="1:18" x14ac:dyDescent="0.25">
      <c r="A50" s="6" t="s">
        <v>288</v>
      </c>
      <c r="B50" s="8"/>
      <c r="C50" s="8" t="s">
        <v>289</v>
      </c>
      <c r="D50" t="s">
        <v>38</v>
      </c>
      <c r="J50" s="15">
        <v>24</v>
      </c>
      <c r="K50" s="16" t="s">
        <v>290</v>
      </c>
      <c r="L50" s="17" t="s">
        <v>23</v>
      </c>
      <c r="M50" s="17" t="s">
        <v>167</v>
      </c>
      <c r="N50" s="17" t="s">
        <v>168</v>
      </c>
      <c r="O50" s="17" t="s">
        <v>291</v>
      </c>
      <c r="P50" s="17" t="s">
        <v>292</v>
      </c>
      <c r="Q50" s="17"/>
      <c r="R50" s="18" t="s">
        <v>293</v>
      </c>
    </row>
    <row r="51" spans="1:18" x14ac:dyDescent="0.25">
      <c r="A51" t="s">
        <v>294</v>
      </c>
      <c r="B51" s="1" t="str">
        <f>VLOOKUP(Tabla46[[#This Row],[poliza]],Tabla47[[Póliza]:[HOS]],6,FALSE)</f>
        <v>HOS058</v>
      </c>
      <c r="C51" s="1" t="s">
        <v>214</v>
      </c>
      <c r="J51" s="9">
        <v>14</v>
      </c>
      <c r="K51" s="10">
        <v>1032261</v>
      </c>
      <c r="L51" s="11" t="s">
        <v>23</v>
      </c>
      <c r="M51" s="11" t="s">
        <v>295</v>
      </c>
      <c r="N51" s="11" t="s">
        <v>296</v>
      </c>
      <c r="O51" s="11" t="s">
        <v>297</v>
      </c>
      <c r="P51" s="11" t="s">
        <v>298</v>
      </c>
      <c r="Q51" s="11"/>
      <c r="R51" s="12"/>
    </row>
    <row r="52" spans="1:18" x14ac:dyDescent="0.25">
      <c r="A52" t="s">
        <v>299</v>
      </c>
      <c r="B52" s="1" t="str">
        <f>VLOOKUP(Tabla46[[#This Row],[poliza]],Tabla47[[Póliza]:[HOS]],6,FALSE)</f>
        <v>HOS065</v>
      </c>
      <c r="C52" s="1" t="s">
        <v>249</v>
      </c>
      <c r="J52" s="9">
        <v>49</v>
      </c>
      <c r="K52" s="10">
        <v>9369385</v>
      </c>
      <c r="L52" s="11" t="s">
        <v>62</v>
      </c>
      <c r="M52" s="11" t="s">
        <v>300</v>
      </c>
      <c r="N52" s="11" t="s">
        <v>301</v>
      </c>
      <c r="O52" s="11" t="s">
        <v>302</v>
      </c>
      <c r="P52" s="11" t="s">
        <v>303</v>
      </c>
      <c r="Q52" s="11"/>
      <c r="R52" s="12"/>
    </row>
    <row r="53" spans="1:18" x14ac:dyDescent="0.25">
      <c r="A53" s="6" t="s">
        <v>304</v>
      </c>
      <c r="B53" s="8"/>
      <c r="C53" s="8">
        <v>9427354</v>
      </c>
      <c r="D53" t="s">
        <v>38</v>
      </c>
      <c r="J53" s="9">
        <v>37</v>
      </c>
      <c r="K53" s="10" t="s">
        <v>305</v>
      </c>
      <c r="L53" s="11" t="s">
        <v>23</v>
      </c>
      <c r="M53" s="11" t="s">
        <v>306</v>
      </c>
      <c r="N53" s="11" t="s">
        <v>307</v>
      </c>
      <c r="O53" s="11" t="s">
        <v>308</v>
      </c>
      <c r="P53" s="11" t="s">
        <v>309</v>
      </c>
      <c r="Q53" s="11"/>
      <c r="R53" s="12"/>
    </row>
    <row r="54" spans="1:18" x14ac:dyDescent="0.25">
      <c r="A54" t="s">
        <v>310</v>
      </c>
      <c r="B54" s="1" t="str">
        <f>VLOOKUP(Tabla46[[#This Row],[poliza]],Tabla47[[Póliza]:[HOS]],6,FALSE)</f>
        <v>HOS055</v>
      </c>
      <c r="C54" s="1" t="s">
        <v>197</v>
      </c>
      <c r="J54" s="9">
        <v>42</v>
      </c>
      <c r="K54" s="10">
        <v>9467378</v>
      </c>
      <c r="L54" s="11" t="s">
        <v>23</v>
      </c>
      <c r="M54" s="11" t="s">
        <v>306</v>
      </c>
      <c r="N54" s="11" t="s">
        <v>311</v>
      </c>
      <c r="O54" s="11" t="s">
        <v>312</v>
      </c>
      <c r="P54" s="11" t="s">
        <v>313</v>
      </c>
      <c r="Q54" s="11"/>
      <c r="R54" s="12"/>
    </row>
    <row r="55" spans="1:18" x14ac:dyDescent="0.25">
      <c r="A55" t="s">
        <v>314</v>
      </c>
      <c r="B55" s="1" t="str">
        <f>VLOOKUP(Tabla46[[#This Row],[poliza]],Tabla47[[Póliza]:[HOS]],6,FALSE)</f>
        <v>HOS046</v>
      </c>
      <c r="C55" s="1" t="s">
        <v>153</v>
      </c>
      <c r="J55" s="9">
        <v>36</v>
      </c>
      <c r="K55" s="10" t="s">
        <v>103</v>
      </c>
      <c r="L55" s="11" t="s">
        <v>23</v>
      </c>
      <c r="M55" s="11" t="s">
        <v>306</v>
      </c>
      <c r="N55" s="11" t="s">
        <v>315</v>
      </c>
      <c r="O55" s="11" t="s">
        <v>316</v>
      </c>
      <c r="P55" s="11" t="s">
        <v>317</v>
      </c>
      <c r="Q55" s="11"/>
      <c r="R55" s="12"/>
    </row>
    <row r="56" spans="1:18" x14ac:dyDescent="0.25">
      <c r="A56" s="6" t="s">
        <v>318</v>
      </c>
      <c r="B56" s="8"/>
      <c r="C56" s="8" t="s">
        <v>37</v>
      </c>
      <c r="D56" t="s">
        <v>38</v>
      </c>
      <c r="J56" s="9">
        <v>69</v>
      </c>
      <c r="K56" s="10">
        <v>9554921</v>
      </c>
      <c r="L56" s="11" t="s">
        <v>62</v>
      </c>
      <c r="M56" s="11" t="s">
        <v>160</v>
      </c>
      <c r="N56" s="11" t="s">
        <v>319</v>
      </c>
      <c r="O56" s="11" t="s">
        <v>320</v>
      </c>
      <c r="P56" s="11" t="s">
        <v>321</v>
      </c>
      <c r="Q56" s="11"/>
      <c r="R56" s="12"/>
    </row>
    <row r="57" spans="1:18" x14ac:dyDescent="0.25">
      <c r="A57" t="s">
        <v>322</v>
      </c>
      <c r="B57" s="1" t="str">
        <f>VLOOKUP(Tabla46[[#This Row],[poliza]],Tabla47[[Póliza]:[HOS]],6,FALSE)</f>
        <v>HOS115</v>
      </c>
      <c r="C57" s="1">
        <v>9415557</v>
      </c>
      <c r="J57" s="9">
        <v>41</v>
      </c>
      <c r="K57" s="10">
        <v>9699545</v>
      </c>
      <c r="L57" s="11" t="s">
        <v>16</v>
      </c>
      <c r="M57" s="11" t="s">
        <v>323</v>
      </c>
      <c r="N57" s="11" t="s">
        <v>228</v>
      </c>
      <c r="O57" s="11" t="s">
        <v>324</v>
      </c>
      <c r="P57" s="11" t="s">
        <v>325</v>
      </c>
      <c r="Q57" s="11"/>
      <c r="R57" s="19"/>
    </row>
    <row r="58" spans="1:18" x14ac:dyDescent="0.25">
      <c r="A58" t="s">
        <v>326</v>
      </c>
      <c r="B58" s="1" t="str">
        <f>VLOOKUP(Tabla46[[#This Row],[poliza]],Tabla47[[Póliza]:[HOS]],6,FALSE)</f>
        <v>HOS112</v>
      </c>
      <c r="C58" s="1" t="s">
        <v>274</v>
      </c>
      <c r="J58" s="9">
        <v>50</v>
      </c>
      <c r="K58" s="10" t="s">
        <v>327</v>
      </c>
      <c r="L58" s="11" t="s">
        <v>23</v>
      </c>
      <c r="M58" s="11" t="s">
        <v>328</v>
      </c>
      <c r="N58" s="11" t="s">
        <v>329</v>
      </c>
      <c r="O58" s="11" t="s">
        <v>330</v>
      </c>
      <c r="P58" s="11" t="s">
        <v>331</v>
      </c>
      <c r="Q58" s="11"/>
      <c r="R58" s="12"/>
    </row>
    <row r="59" spans="1:18" x14ac:dyDescent="0.25">
      <c r="A59" t="s">
        <v>332</v>
      </c>
      <c r="B59" s="1" t="str">
        <f>VLOOKUP(Tabla46[[#This Row],[poliza]],Tabla47[[Póliza]:[HOS]],6,FALSE)</f>
        <v>HOS050</v>
      </c>
      <c r="C59" s="1" t="s">
        <v>173</v>
      </c>
      <c r="J59" s="15">
        <v>23</v>
      </c>
      <c r="K59" s="16">
        <v>9487088</v>
      </c>
      <c r="L59" s="17" t="s">
        <v>23</v>
      </c>
      <c r="M59" s="17" t="s">
        <v>180</v>
      </c>
      <c r="N59" s="17" t="s">
        <v>127</v>
      </c>
      <c r="O59" s="17" t="s">
        <v>333</v>
      </c>
      <c r="P59" s="17" t="s">
        <v>334</v>
      </c>
      <c r="Q59" s="17"/>
      <c r="R59" s="18" t="s">
        <v>293</v>
      </c>
    </row>
    <row r="60" spans="1:18" x14ac:dyDescent="0.25">
      <c r="A60" t="s">
        <v>335</v>
      </c>
      <c r="B60" s="1" t="str">
        <f>VLOOKUP(Tabla46[[#This Row],[poliza]],Tabla47[[Póliza]:[HOS]],6,FALSE)</f>
        <v>HOS042</v>
      </c>
      <c r="C60" s="1" t="s">
        <v>147</v>
      </c>
      <c r="J60" s="15">
        <v>47</v>
      </c>
      <c r="K60" s="16">
        <v>9773834</v>
      </c>
      <c r="L60" s="17" t="s">
        <v>16</v>
      </c>
      <c r="M60" s="17" t="s">
        <v>227</v>
      </c>
      <c r="N60" s="17" t="s">
        <v>18</v>
      </c>
      <c r="O60" s="17" t="s">
        <v>336</v>
      </c>
      <c r="P60" s="17" t="s">
        <v>337</v>
      </c>
      <c r="Q60" s="17"/>
      <c r="R60" s="18" t="s">
        <v>293</v>
      </c>
    </row>
    <row r="61" spans="1:18" x14ac:dyDescent="0.25">
      <c r="A61" t="s">
        <v>338</v>
      </c>
      <c r="B61" s="1" t="str">
        <f>VLOOKUP(Tabla46[[#This Row],[poliza]],Tabla47[[Póliza]:[HOS]],6,FALSE)</f>
        <v>HOS048</v>
      </c>
      <c r="C61" s="1" t="s">
        <v>166</v>
      </c>
      <c r="J61" s="9">
        <v>1</v>
      </c>
      <c r="K61" s="10" t="s">
        <v>54</v>
      </c>
      <c r="L61" s="11" t="s">
        <v>23</v>
      </c>
      <c r="M61" s="11" t="s">
        <v>339</v>
      </c>
      <c r="N61" s="11" t="s">
        <v>340</v>
      </c>
      <c r="O61" s="11" t="s">
        <v>341</v>
      </c>
      <c r="P61" s="11" t="s">
        <v>342</v>
      </c>
      <c r="Q61" s="11" t="s">
        <v>343</v>
      </c>
      <c r="R61" s="12"/>
    </row>
    <row r="62" spans="1:18" x14ac:dyDescent="0.25">
      <c r="A62" t="s">
        <v>344</v>
      </c>
      <c r="B62" s="1" t="str">
        <f>VLOOKUP(Tabla46[[#This Row],[poliza]],Tabla47[[Póliza]:[HOS]],6,FALSE)</f>
        <v>HOS063</v>
      </c>
      <c r="C62" s="1">
        <v>9462784</v>
      </c>
      <c r="J62" s="9">
        <v>3</v>
      </c>
      <c r="K62" s="10">
        <v>9068956</v>
      </c>
      <c r="L62" s="11" t="s">
        <v>23</v>
      </c>
      <c r="M62" s="11" t="s">
        <v>306</v>
      </c>
      <c r="N62" s="11" t="s">
        <v>345</v>
      </c>
      <c r="O62" s="11" t="s">
        <v>341</v>
      </c>
      <c r="P62" s="11" t="s">
        <v>346</v>
      </c>
      <c r="Q62" s="11" t="s">
        <v>347</v>
      </c>
      <c r="R62" s="12"/>
    </row>
    <row r="63" spans="1:18" x14ac:dyDescent="0.25">
      <c r="A63" t="s">
        <v>348</v>
      </c>
      <c r="B63" s="1" t="str">
        <f>VLOOKUP(Tabla46[[#This Row],[poliza]],Tabla47[[Póliza]:[HOS]],6,FALSE)</f>
        <v>HOS008</v>
      </c>
      <c r="C63" s="1">
        <v>9074175</v>
      </c>
      <c r="J63" s="9">
        <v>6</v>
      </c>
      <c r="K63" s="10">
        <v>9369887</v>
      </c>
      <c r="L63" s="11" t="s">
        <v>62</v>
      </c>
      <c r="M63" s="11" t="s">
        <v>349</v>
      </c>
      <c r="N63" s="11" t="s">
        <v>281</v>
      </c>
      <c r="O63" s="11" t="s">
        <v>341</v>
      </c>
      <c r="P63" s="11" t="s">
        <v>350</v>
      </c>
      <c r="Q63" s="11" t="s">
        <v>351</v>
      </c>
      <c r="R63" s="12"/>
    </row>
    <row r="64" spans="1:18" x14ac:dyDescent="0.25">
      <c r="A64" s="6" t="s">
        <v>352</v>
      </c>
      <c r="B64" s="8"/>
      <c r="C64" s="8">
        <v>9272185</v>
      </c>
      <c r="D64" t="s">
        <v>38</v>
      </c>
      <c r="J64" s="9">
        <v>15</v>
      </c>
      <c r="K64" s="10" t="s">
        <v>37</v>
      </c>
      <c r="L64" s="11" t="s">
        <v>23</v>
      </c>
      <c r="M64" s="11" t="s">
        <v>45</v>
      </c>
      <c r="N64" s="11" t="s">
        <v>181</v>
      </c>
      <c r="O64" s="11" t="s">
        <v>341</v>
      </c>
      <c r="P64" s="11" t="s">
        <v>353</v>
      </c>
      <c r="Q64" s="11" t="s">
        <v>354</v>
      </c>
      <c r="R64" s="12"/>
    </row>
    <row r="65" spans="1:18" x14ac:dyDescent="0.25">
      <c r="A65" s="6" t="s">
        <v>355</v>
      </c>
      <c r="B65" s="8"/>
      <c r="C65" s="8">
        <v>734197</v>
      </c>
      <c r="D65" t="s">
        <v>38</v>
      </c>
      <c r="J65" s="9">
        <v>18</v>
      </c>
      <c r="K65" s="10">
        <v>9765718</v>
      </c>
      <c r="L65" s="11" t="s">
        <v>62</v>
      </c>
      <c r="M65" s="11" t="s">
        <v>160</v>
      </c>
      <c r="N65" s="11" t="s">
        <v>356</v>
      </c>
      <c r="O65" s="11" t="s">
        <v>341</v>
      </c>
      <c r="P65" s="11" t="s">
        <v>357</v>
      </c>
      <c r="Q65" s="11" t="s">
        <v>351</v>
      </c>
      <c r="R65" s="12"/>
    </row>
    <row r="66" spans="1:18" x14ac:dyDescent="0.25">
      <c r="A66" t="s">
        <v>358</v>
      </c>
      <c r="B66" s="1" t="str">
        <f>VLOOKUP(Tabla46[[#This Row],[poliza]],Tabla47[[Póliza]:[HOS]],6,FALSE)</f>
        <v>HOS107</v>
      </c>
      <c r="C66" s="1" t="s">
        <v>264</v>
      </c>
      <c r="J66" s="9">
        <v>21</v>
      </c>
      <c r="K66" s="10">
        <v>9799175</v>
      </c>
      <c r="L66" s="11" t="s">
        <v>23</v>
      </c>
      <c r="M66" s="11" t="s">
        <v>359</v>
      </c>
      <c r="N66" s="11" t="s">
        <v>105</v>
      </c>
      <c r="O66" s="11" t="s">
        <v>341</v>
      </c>
      <c r="P66" s="11" t="s">
        <v>360</v>
      </c>
      <c r="Q66" s="11" t="s">
        <v>361</v>
      </c>
      <c r="R66" s="12"/>
    </row>
    <row r="67" spans="1:18" x14ac:dyDescent="0.25">
      <c r="A67" t="s">
        <v>362</v>
      </c>
      <c r="B67" s="1" t="str">
        <f>VLOOKUP(Tabla46[[#This Row],[poliza]],Tabla47[[Póliza]:[HOS]],6,FALSE)</f>
        <v>HOS038</v>
      </c>
      <c r="C67" s="1" t="s">
        <v>131</v>
      </c>
      <c r="J67" s="9">
        <v>31</v>
      </c>
      <c r="K67" s="10">
        <v>9427354</v>
      </c>
      <c r="L67" s="11" t="s">
        <v>31</v>
      </c>
      <c r="M67" s="11" t="s">
        <v>363</v>
      </c>
      <c r="N67" s="11" t="s">
        <v>364</v>
      </c>
      <c r="O67" s="11" t="s">
        <v>341</v>
      </c>
      <c r="P67" s="11" t="s">
        <v>365</v>
      </c>
      <c r="Q67" s="11" t="s">
        <v>351</v>
      </c>
      <c r="R67" s="12"/>
    </row>
    <row r="68" spans="1:18" x14ac:dyDescent="0.25">
      <c r="A68" t="s">
        <v>366</v>
      </c>
      <c r="B68" s="1" t="str">
        <f>VLOOKUP(Tabla46[[#This Row],[poliza]],Tabla47[[Póliza]:[HOS]],6,FALSE)</f>
        <v>HOS159</v>
      </c>
      <c r="C68" s="1" t="s">
        <v>327</v>
      </c>
      <c r="J68" s="9">
        <v>33</v>
      </c>
      <c r="K68" s="10">
        <v>734197</v>
      </c>
      <c r="L68" s="11" t="s">
        <v>62</v>
      </c>
      <c r="M68" s="11" t="s">
        <v>367</v>
      </c>
      <c r="N68" s="11" t="s">
        <v>368</v>
      </c>
      <c r="O68" s="11" t="s">
        <v>341</v>
      </c>
      <c r="P68" s="11" t="s">
        <v>369</v>
      </c>
      <c r="Q68" s="11" t="s">
        <v>351</v>
      </c>
      <c r="R68" s="12"/>
    </row>
    <row r="69" spans="1:18" x14ac:dyDescent="0.25">
      <c r="A69" t="s">
        <v>370</v>
      </c>
      <c r="B69" s="1" t="str">
        <f>VLOOKUP(Tabla46[[#This Row],[poliza]],Tabla47[[Póliza]:[HOS]],6,FALSE)</f>
        <v>HOS035</v>
      </c>
      <c r="C69" s="1">
        <v>9429770</v>
      </c>
      <c r="J69" s="9">
        <v>34</v>
      </c>
      <c r="K69" s="10" t="s">
        <v>172</v>
      </c>
      <c r="L69" s="11" t="s">
        <v>31</v>
      </c>
      <c r="M69" s="11" t="s">
        <v>371</v>
      </c>
      <c r="N69" s="11" t="s">
        <v>372</v>
      </c>
      <c r="O69" s="11" t="s">
        <v>341</v>
      </c>
      <c r="P69" s="11" t="s">
        <v>373</v>
      </c>
      <c r="Q69" s="11" t="s">
        <v>351</v>
      </c>
      <c r="R69" s="12"/>
    </row>
    <row r="70" spans="1:18" x14ac:dyDescent="0.25">
      <c r="A70" t="s">
        <v>374</v>
      </c>
      <c r="B70" s="1" t="str">
        <f>VLOOKUP(Tabla46[[#This Row],[poliza]],Tabla47[[Póliza]:[HOS]],6,FALSE)</f>
        <v>HOS119</v>
      </c>
      <c r="C70" s="1" t="s">
        <v>290</v>
      </c>
      <c r="J70" s="9">
        <v>35</v>
      </c>
      <c r="K70" s="10">
        <v>9551851</v>
      </c>
      <c r="L70" s="11" t="s">
        <v>62</v>
      </c>
      <c r="M70" s="11" t="s">
        <v>375</v>
      </c>
      <c r="N70" s="11" t="s">
        <v>83</v>
      </c>
      <c r="O70" s="11" t="s">
        <v>341</v>
      </c>
      <c r="P70" s="11" t="s">
        <v>376</v>
      </c>
      <c r="Q70" s="11" t="s">
        <v>351</v>
      </c>
      <c r="R70" s="12"/>
    </row>
    <row r="71" spans="1:18" x14ac:dyDescent="0.25">
      <c r="A71" t="s">
        <v>377</v>
      </c>
      <c r="B71" s="1" t="str">
        <f>VLOOKUP(Tabla46[[#This Row],[poliza]],Tabla47[[Póliza]:[HOS]],6,FALSE)</f>
        <v>HOS122</v>
      </c>
      <c r="C71" s="1">
        <v>1032261</v>
      </c>
      <c r="J71" s="9">
        <v>45</v>
      </c>
      <c r="K71" s="10" t="s">
        <v>289</v>
      </c>
      <c r="L71" s="11" t="s">
        <v>23</v>
      </c>
      <c r="M71" s="11" t="s">
        <v>378</v>
      </c>
      <c r="N71" s="11" t="s">
        <v>237</v>
      </c>
      <c r="O71" s="11" t="s">
        <v>341</v>
      </c>
      <c r="P71" s="11" t="s">
        <v>379</v>
      </c>
      <c r="Q71" s="11" t="s">
        <v>351</v>
      </c>
      <c r="R71" s="12"/>
    </row>
    <row r="72" spans="1:18" x14ac:dyDescent="0.25">
      <c r="A72" t="s">
        <v>380</v>
      </c>
      <c r="B72" s="1" t="str">
        <f>VLOOKUP(Tabla46[[#This Row],[poliza]],Tabla47[[Póliza]:[HOS]],6,FALSE)</f>
        <v>HOS059</v>
      </c>
      <c r="C72" s="1" t="s">
        <v>221</v>
      </c>
      <c r="J72" s="9">
        <v>54</v>
      </c>
      <c r="K72" s="10">
        <v>9625938</v>
      </c>
      <c r="L72" s="11" t="s">
        <v>23</v>
      </c>
      <c r="M72" s="11" t="s">
        <v>381</v>
      </c>
      <c r="N72" s="11" t="s">
        <v>143</v>
      </c>
      <c r="O72" s="11" t="s">
        <v>341</v>
      </c>
      <c r="P72" s="11" t="s">
        <v>382</v>
      </c>
      <c r="Q72" s="11" t="s">
        <v>383</v>
      </c>
      <c r="R72" s="12"/>
    </row>
    <row r="73" spans="1:18" x14ac:dyDescent="0.25">
      <c r="A73" s="6" t="s">
        <v>384</v>
      </c>
      <c r="B73" s="8"/>
      <c r="C73" s="8">
        <v>9625938</v>
      </c>
      <c r="D73" t="s">
        <v>38</v>
      </c>
      <c r="J73" s="9">
        <v>60</v>
      </c>
      <c r="K73" s="10" t="s">
        <v>92</v>
      </c>
      <c r="L73" s="11" t="s">
        <v>23</v>
      </c>
      <c r="M73" s="11" t="s">
        <v>385</v>
      </c>
      <c r="N73" s="11" t="s">
        <v>46</v>
      </c>
      <c r="O73" s="11" t="s">
        <v>341</v>
      </c>
      <c r="P73" s="11" t="s">
        <v>386</v>
      </c>
      <c r="Q73" s="11" t="s">
        <v>387</v>
      </c>
      <c r="R73" s="12"/>
    </row>
    <row r="74" spans="1:18" x14ac:dyDescent="0.25">
      <c r="A74" t="s">
        <v>388</v>
      </c>
      <c r="B74" s="1" t="str">
        <f>VLOOKUP(Tabla46[[#This Row],[poliza]],Tabla47[[Póliza]:[HOS]],6,FALSE)</f>
        <v>HOS126</v>
      </c>
      <c r="C74" s="1">
        <v>9467378</v>
      </c>
      <c r="J74" s="9">
        <v>61</v>
      </c>
      <c r="K74" s="10">
        <v>9551274</v>
      </c>
      <c r="L74" s="11" t="s">
        <v>23</v>
      </c>
      <c r="M74" s="11" t="s">
        <v>389</v>
      </c>
      <c r="N74" s="11" t="s">
        <v>270</v>
      </c>
      <c r="O74" s="11" t="s">
        <v>341</v>
      </c>
      <c r="P74" s="11" t="s">
        <v>390</v>
      </c>
      <c r="Q74" s="11" t="s">
        <v>391</v>
      </c>
      <c r="R74" s="12"/>
    </row>
    <row r="75" spans="1:18" x14ac:dyDescent="0.25">
      <c r="A75" t="s">
        <v>392</v>
      </c>
      <c r="B75" s="1" t="str">
        <f>VLOOKUP(Tabla46[[#This Row],[poliza]],Tabla47[[Póliza]:[HOS]],6,FALSE)</f>
        <v>HOS033</v>
      </c>
      <c r="C75" s="1" t="s">
        <v>109</v>
      </c>
      <c r="J75" s="9">
        <v>63</v>
      </c>
      <c r="K75" s="10" t="s">
        <v>279</v>
      </c>
      <c r="L75" s="11" t="s">
        <v>23</v>
      </c>
      <c r="M75" s="11" t="s">
        <v>126</v>
      </c>
      <c r="N75" s="11" t="s">
        <v>393</v>
      </c>
      <c r="O75" s="11" t="s">
        <v>341</v>
      </c>
      <c r="P75" s="11" t="s">
        <v>394</v>
      </c>
      <c r="Q75" s="11" t="s">
        <v>351</v>
      </c>
      <c r="R75" s="12"/>
    </row>
    <row r="76" spans="1:18" x14ac:dyDescent="0.25">
      <c r="A76" t="s">
        <v>395</v>
      </c>
      <c r="B76" s="1" t="str">
        <f>VLOOKUP(Tabla46[[#This Row],[poliza]],Tabla47[[Póliza]:[HOS]],6,FALSE)</f>
        <v>HOS125</v>
      </c>
      <c r="C76" s="1" t="s">
        <v>305</v>
      </c>
      <c r="J76" s="9">
        <v>70</v>
      </c>
      <c r="K76" s="10" t="s">
        <v>165</v>
      </c>
      <c r="L76" s="11" t="s">
        <v>31</v>
      </c>
      <c r="M76" s="11" t="s">
        <v>363</v>
      </c>
      <c r="N76" s="11" t="s">
        <v>396</v>
      </c>
      <c r="O76" s="11" t="s">
        <v>341</v>
      </c>
      <c r="P76" s="11" t="s">
        <v>397</v>
      </c>
      <c r="Q76" s="11" t="s">
        <v>398</v>
      </c>
      <c r="R76" s="12"/>
    </row>
    <row r="77" spans="1:18" x14ac:dyDescent="0.25">
      <c r="A77" t="s">
        <v>399</v>
      </c>
      <c r="B77" s="1" t="str">
        <f>VLOOKUP(Tabla46[[#This Row],[poliza]],Tabla47[[Póliza]:[HOS]],6,FALSE)</f>
        <v>HOS110</v>
      </c>
      <c r="C77" s="1" t="s">
        <v>268</v>
      </c>
      <c r="J77" s="9">
        <v>71</v>
      </c>
      <c r="K77" s="10">
        <v>9060045</v>
      </c>
      <c r="L77" s="11" t="s">
        <v>62</v>
      </c>
      <c r="M77" s="11" t="s">
        <v>400</v>
      </c>
      <c r="N77" s="11" t="s">
        <v>401</v>
      </c>
      <c r="O77" s="11" t="s">
        <v>341</v>
      </c>
      <c r="P77" s="11" t="s">
        <v>402</v>
      </c>
      <c r="Q77" s="11" t="s">
        <v>403</v>
      </c>
      <c r="R77" s="12"/>
    </row>
    <row r="78" spans="1:18" x14ac:dyDescent="0.25">
      <c r="A78" t="s">
        <v>404</v>
      </c>
      <c r="B78" s="1" t="str">
        <f>VLOOKUP(Tabla46[[#This Row],[poliza]],Tabla47[[Póliza]:[HOS]],6,FALSE)</f>
        <v>HOS124</v>
      </c>
      <c r="C78" s="1">
        <v>9369385</v>
      </c>
      <c r="J78" s="9">
        <v>74</v>
      </c>
      <c r="K78" s="10">
        <v>9010140</v>
      </c>
      <c r="L78" s="11" t="s">
        <v>62</v>
      </c>
      <c r="M78" s="11" t="s">
        <v>405</v>
      </c>
      <c r="N78" s="11" t="s">
        <v>406</v>
      </c>
      <c r="O78" s="11" t="s">
        <v>341</v>
      </c>
      <c r="P78" s="11" t="s">
        <v>407</v>
      </c>
      <c r="Q78" s="11" t="s">
        <v>408</v>
      </c>
      <c r="R78" s="12"/>
    </row>
    <row r="79" spans="1:18" x14ac:dyDescent="0.25">
      <c r="A79" t="s">
        <v>409</v>
      </c>
      <c r="B79" s="1" t="str">
        <f>VLOOKUP(Tabla46[[#This Row],[poliza]],Tabla47[[Póliza]:[HOS]],6,FALSE)</f>
        <v>HOS005</v>
      </c>
      <c r="C79" s="1">
        <v>9642076</v>
      </c>
      <c r="J79" s="20">
        <v>78</v>
      </c>
      <c r="K79" s="21">
        <v>9272185</v>
      </c>
      <c r="L79" s="22" t="s">
        <v>23</v>
      </c>
      <c r="M79" s="22" t="s">
        <v>410</v>
      </c>
      <c r="N79" s="22" t="s">
        <v>411</v>
      </c>
      <c r="O79" s="22" t="s">
        <v>341</v>
      </c>
      <c r="P79" s="11" t="s">
        <v>412</v>
      </c>
      <c r="Q79" s="22" t="s">
        <v>413</v>
      </c>
      <c r="R79" s="23"/>
    </row>
    <row r="80" spans="1:18" x14ac:dyDescent="0.25">
      <c r="C80" s="1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AGUA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Piquero</dc:creator>
  <cp:lastModifiedBy>Jordi Piquero</cp:lastModifiedBy>
  <dcterms:created xsi:type="dcterms:W3CDTF">2026-06-13T16:56:11Z</dcterms:created>
  <dcterms:modified xsi:type="dcterms:W3CDTF">2026-06-13T16:56:35Z</dcterms:modified>
</cp:coreProperties>
</file>